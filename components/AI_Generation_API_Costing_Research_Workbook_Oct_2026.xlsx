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mage API Pricing" sheetId="2" state="visible" r:id="rId2"/>
    <sheet xmlns:r="http://schemas.openxmlformats.org/officeDocument/2006/relationships" name="3D API Pricing" sheetId="3" state="visible" r:id="rId3"/>
    <sheet xmlns:r="http://schemas.openxmlformats.org/officeDocument/2006/relationships" name="Infrastructure Pricing" sheetId="4" state="visible" r:id="rId4"/>
    <sheet xmlns:r="http://schemas.openxmlformats.org/officeDocument/2006/relationships" name="LLM &amp; Embeddings" sheetId="5" state="visible" r:id="rId5"/>
    <sheet xmlns:r="http://schemas.openxmlformats.org/officeDocument/2006/relationships" name="Monthly Calculator" sheetId="6" state="visible" r:id="rId6"/>
    <sheet xmlns:r="http://schemas.openxmlformats.org/officeDocument/2006/relationships" name="Combination Cards" sheetId="7" state="visible" r:id="rId7"/>
    <sheet xmlns:r="http://schemas.openxmlformats.org/officeDocument/2006/relationships" name="Quality Benchmark" sheetId="8" state="visible" r:id="rId8"/>
    <sheet xmlns:r="http://schemas.openxmlformats.org/officeDocument/2006/relationships" name="Source Register" sheetId="9" state="visible" r:id="rId9"/>
    <sheet xmlns:r="http://schemas.openxmlformats.org/officeDocument/2006/relationships" name="Verification Backlog" sheetId="10" state="visible" r:id="rId10"/>
  </sheets>
  <definedNames>
    <definedName name="_xlnm._FilterDatabase" localSheetId="1" hidden="1">'Image API Pricing'!$A$4:$J$32</definedName>
    <definedName name="_xlnm._FilterDatabase" localSheetId="2" hidden="1">'3D API Pricing'!$A$4:$J$20</definedName>
    <definedName name="_xlnm._FilterDatabase" localSheetId="3" hidden="1">'Infrastructure Pricing'!$A$4:$H$15</definedName>
    <definedName name="_xlnm._FilterDatabase" localSheetId="4" hidden="1">'LLM &amp; Embeddings'!$A$4:$H$12</definedName>
    <definedName name="_xlnm._FilterDatabase" localSheetId="5" hidden="1">'Monthly Calculator'!$A$4:$D$25</definedName>
    <definedName name="_xlnm._FilterDatabase" localSheetId="6" hidden="1">'Combination Cards'!$A$4:$L$10</definedName>
    <definedName name="_xlnm._FilterDatabase" localSheetId="7" hidden="1">'Quality Benchmark'!$A$4:$L$12</definedName>
    <definedName name="_xlnm._FilterDatabase" localSheetId="8" hidden="1">'Source Register'!$A$4:$G$24</definedName>
    <definedName name="_xlnm._FilterDatabase" localSheetId="9" hidden="1">'Verification Backlog'!$A$4:$G$19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₹#,##0.00"/>
    <numFmt numFmtId="166" formatCode="$0.0000"/>
    <numFmt numFmtId="167" formatCode="0.0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17365D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7FAFC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5DDE5"/>
      </bottom>
    </border>
  </borders>
  <cellStyleXfs count="2">
    <xf numFmtId="0" fontId="0" fillId="0" borderId="0"/>
    <xf numFmtId="0" fontId="5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0" borderId="0" applyAlignment="1" pivotButton="0" quotePrefix="0" xfId="1">
      <alignment vertical="top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6" fontId="0" fillId="5" borderId="1" applyAlignment="1" pivotButton="0" quotePrefix="0" xfId="0">
      <alignment vertical="top" wrapText="1"/>
    </xf>
    <xf numFmtId="167" fontId="0" fillId="5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OpenAI</author>
  </authors>
  <commentList>
    <comment ref="K4" authorId="0" shapeId="0">
      <text>
        <t>Image index = 30% realism + 25% prompt adherence + 25% brand/reference adherence + 10% signage + 10% consistency. Proposed weights.</t>
      </text>
    </comment>
    <comment ref="L4" authorId="0" shapeId="0">
      <text>
        <t>3D index = 65% geometry accuracy + 35% editability/export quality. Proposed weights.</t>
      </text>
    </comment>
  </commentList>
</comments>
</file>

<file path=xl/tables/table1.xml><?xml version="1.0" encoding="utf-8"?>
<table xmlns="http://schemas.openxmlformats.org/spreadsheetml/2006/main" id="1" name="ImagePricing" displayName="ImagePricing" ref="A4:J32" headerRowCount="1">
  <autoFilter ref="A4:J32"/>
  <tableColumns count="10">
    <tableColumn id="1" name="Provider"/>
    <tableColumn id="2" name="Model / endpoint"/>
    <tableColumn id="3" name="Operation"/>
    <tableColumn id="4" name="Resolution / tier"/>
    <tableColumn id="5" name="Price"/>
    <tableColumn id="6" name="Billing unit"/>
    <tableColumn id="7" name="Status"/>
    <tableColumn id="8" name="Extra charges / caveats"/>
    <tableColumn id="9" name="Quality / capability notes"/>
    <tableColumn id="10" name="Official source URL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hreeDPricing" displayName="ThreeDPricing" ref="A4:J20" headerRowCount="1">
  <autoFilter ref="A4:J20"/>
  <tableColumns count="10">
    <tableColumn id="1" name="Provider"/>
    <tableColumn id="2" name="Model / API"/>
    <tableColumn id="3" name="Operation"/>
    <tableColumn id="4" name="Quality / option"/>
    <tableColumn id="5" name="Published cost"/>
    <tableColumn id="6" name="Unit"/>
    <tableColumn id="7" name="USD equivalent"/>
    <tableColumn id="8" name="Status / gaps"/>
    <tableColumn id="9" name="Cost notes"/>
    <tableColumn id="10" name="Official source URL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InfraPricing" displayName="InfraPricing" ref="A4:H15" headerRowCount="1">
  <autoFilter ref="A4:H15"/>
  <tableColumns count="8">
    <tableColumn id="1" name="Category"/>
    <tableColumn id="2" name="Provider"/>
    <tableColumn id="3" name="Plan / unit"/>
    <tableColumn id="4" name="Published price"/>
    <tableColumn id="5" name="Included usage / overage"/>
    <tableColumn id="6" name="Status"/>
    <tableColumn id="7" name="Official source URL"/>
    <tableColumn id="8" name="Implementation not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LLMPricing" displayName="LLMPricing" ref="A4:H12" headerRowCount="1">
  <autoFilter ref="A4:H12"/>
  <tableColumns count="8">
    <tableColumn id="1" name="Provider"/>
    <tableColumn id="2" name="Model"/>
    <tableColumn id="3" name="Input USD / 1M"/>
    <tableColumn id="4" name="Cached input USD / 1M"/>
    <tableColumn id="5" name="Output USD / 1M"/>
    <tableColumn id="6" name="Caveat"/>
    <tableColumn id="7" name="Status"/>
    <tableColumn id="8" name="Official source URL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CombinationOptions" displayName="CombinationOptions" ref="A4:L10" headerRowCount="1">
  <autoFilter ref="A4:L10"/>
  <tableColumns count="12">
    <tableColumn id="1" name="ID"/>
    <tableColumn id="2" name="Image provider"/>
    <tableColumn id="3" name="Image tier"/>
    <tableColumn id="4" name="Image USD/unit"/>
    <tableColumn id="5" name="3D provider"/>
    <tableColumn id="6" name="3D workflow"/>
    <tableColumn id="7" name="3D base USD/model"/>
    <tableColumn id="8" name="Texture USD/model"/>
    <tableColumn id="9" name="Image quality index"/>
    <tableColumn id="10" name="3D quality index"/>
    <tableColumn id="11" name="Monthly variable cost USD"/>
    <tableColumn id="12" name="Positioning / caveat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QualityTests" displayName="QualityTests" ref="A4:L12" headerRowCount="1">
  <autoFilter ref="A4:L12"/>
  <tableColumns count="12">
    <tableColumn id="1" name="Provider/model"/>
    <tableColumn id="2" name="Test asset ID"/>
    <tableColumn id="3" name="Use case"/>
    <tableColumn id="4" name="Visual realism"/>
    <tableColumn id="5" name="Prompt adherence"/>
    <tableColumn id="6" name="Brand/reference adherence"/>
    <tableColumn id="7" name="Text/signage accuracy"/>
    <tableColumn id="8" name="Iteration consistency"/>
    <tableColumn id="9" name="Geometry accuracy"/>
    <tableColumn id="10" name="Editability/export"/>
    <tableColumn id="11" name="Image index"/>
    <tableColumn id="12" name="3D index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SourceRegister" displayName="SourceRegister" ref="A4:G24" headerRowCount="1">
  <autoFilter ref="A4:G24"/>
  <tableColumns count="7">
    <tableColumn id="1" name="ID"/>
    <tableColumn id="2" name="Provider/topic"/>
    <tableColumn id="3" name="Source type"/>
    <tableColumn id="4" name="What it supports"/>
    <tableColumn id="5" name="URL"/>
    <tableColumn id="6" name="Confidence / notes"/>
    <tableColumn id="7" name="Refresh trigger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VerificationBacklog" displayName="VerificationBacklog" ref="A4:G19" headerRowCount="1">
  <autoFilter ref="A4:G19"/>
  <tableColumns count="7">
    <tableColumn id="1" name="Priority"/>
    <tableColumn id="2" name="Area"/>
    <tableColumn id="3" name="Open question"/>
    <tableColumn id="4" name="Why it matters"/>
    <tableColumn id="5" name="How to verify"/>
    <tableColumn id="6" name="Status"/>
    <tableColumn id="7" name="Owner / 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i.google.dev/gemini-api/docs/pricing" TargetMode="External" Id="rId1"/><Relationship Type="http://schemas.openxmlformats.org/officeDocument/2006/relationships/hyperlink" Target="https://ai.google.dev/gemini-api/docs/pricing" TargetMode="External" Id="rId2"/><Relationship Type="http://schemas.openxmlformats.org/officeDocument/2006/relationships/hyperlink" Target="https://ai.google.dev/gemini-api/docs/pricing" TargetMode="External" Id="rId3"/><Relationship Type="http://schemas.openxmlformats.org/officeDocument/2006/relationships/hyperlink" Target="https://ai.google.dev/gemini-api/docs/pricing" TargetMode="External" Id="rId4"/><Relationship Type="http://schemas.openxmlformats.org/officeDocument/2006/relationships/hyperlink" Target="https://ai.google.dev/gemini-api/docs/pricing" TargetMode="External" Id="rId5"/><Relationship Type="http://schemas.openxmlformats.org/officeDocument/2006/relationships/hyperlink" Target="https://ai.google.dev/gemini-api/docs/pricing" TargetMode="External" Id="rId6"/><Relationship Type="http://schemas.openxmlformats.org/officeDocument/2006/relationships/hyperlink" Target="https://ai.google.dev/gemini-api/docs/pricing" TargetMode="External" Id="rId7"/><Relationship Type="http://schemas.openxmlformats.org/officeDocument/2006/relationships/hyperlink" Target="https://ai.google.dev/gemini-api/docs/pricing" TargetMode="External" Id="rId8"/><Relationship Type="http://schemas.openxmlformats.org/officeDocument/2006/relationships/hyperlink" Target="https://ai.google.dev/gemini-api/docs/pricing" TargetMode="External" Id="rId9"/><Relationship Type="http://schemas.openxmlformats.org/officeDocument/2006/relationships/hyperlink" Target="https://developers.openai.com/api/docs/pricing" TargetMode="External" Id="rId10"/><Relationship Type="http://schemas.openxmlformats.org/officeDocument/2006/relationships/hyperlink" Target="https://developers.openai.com/api/docs/pricing" TargetMode="External" Id="rId11"/><Relationship Type="http://schemas.openxmlformats.org/officeDocument/2006/relationships/hyperlink" Target="https://developers.openai.com/api/docs/guides/image-generation/" TargetMode="External" Id="rId12"/><Relationship Type="http://schemas.openxmlformats.org/officeDocument/2006/relationships/hyperlink" Target="https://developers.openai.com/api/docs/pricing" TargetMode="External" Id="rId13"/><Relationship Type="http://schemas.openxmlformats.org/officeDocument/2006/relationships/hyperlink" Target="https://github.com/black-forest-labs/skills/blob/master/skills/bfl-api/SKILL.md" TargetMode="External" Id="rId14"/><Relationship Type="http://schemas.openxmlformats.org/officeDocument/2006/relationships/hyperlink" Target="https://github.com/black-forest-labs/skills/blob/master/skills/bfl-api/SKILL.md" TargetMode="External" Id="rId15"/><Relationship Type="http://schemas.openxmlformats.org/officeDocument/2006/relationships/hyperlink" Target="https://github.com/black-forest-labs/skills/blob/master/skills/bfl-api/SKILL.md" TargetMode="External" Id="rId16"/><Relationship Type="http://schemas.openxmlformats.org/officeDocument/2006/relationships/hyperlink" Target="https://github.com/black-forest-labs/skills/blob/master/skills/bfl-api/SKILL.md" TargetMode="External" Id="rId17"/><Relationship Type="http://schemas.openxmlformats.org/officeDocument/2006/relationships/hyperlink" Target="https://github.com/black-forest-labs/skills/blob/master/skills/bfl-api/SKILL.md" TargetMode="External" Id="rId18"/><Relationship Type="http://schemas.openxmlformats.org/officeDocument/2006/relationships/hyperlink" Target="https://github.com/black-forest-labs/skills/blob/master/skills/bfl-api/SKILL.md" TargetMode="External" Id="rId19"/><Relationship Type="http://schemas.openxmlformats.org/officeDocument/2006/relationships/hyperlink" Target="https://github.com/black-forest-labs/skills/blob/master/skills/bfl-api/SKILL.md" TargetMode="External" Id="rId20"/><Relationship Type="http://schemas.openxmlformats.org/officeDocument/2006/relationships/hyperlink" Target="https://ideogram.ai/pricing/?tool=ideogram" TargetMode="External" Id="rId21"/><Relationship Type="http://schemas.openxmlformats.org/officeDocument/2006/relationships/hyperlink" Target="https://ideogram.ai/pricing/?tool=ideogram" TargetMode="External" Id="rId22"/><Relationship Type="http://schemas.openxmlformats.org/officeDocument/2006/relationships/hyperlink" Target="https://ideogram.ai/pricing/?tool=ideogram" TargetMode="External" Id="rId23"/><Relationship Type="http://schemas.openxmlformats.org/officeDocument/2006/relationships/hyperlink" Target="https://ideogram.ai/pricing/?tool=ideogram" TargetMode="External" Id="rId24"/><Relationship Type="http://schemas.openxmlformats.org/officeDocument/2006/relationships/hyperlink" Target="https://ideogram.ai/pricing/?tool=ideogram" TargetMode="External" Id="rId25"/><Relationship Type="http://schemas.openxmlformats.org/officeDocument/2006/relationships/hyperlink" Target="https://ideogram.ai/pricing/?tool=ideogram" TargetMode="External" Id="rId26"/><Relationship Type="http://schemas.openxmlformats.org/officeDocument/2006/relationships/hyperlink" Target="https://ideogram.ai/pricing/?tool=ideogram" TargetMode="External" Id="rId27"/><Relationship Type="http://schemas.openxmlformats.org/officeDocument/2006/relationships/hyperlink" Target="https://ideogram.ai/pricing/?tool=ideogram" TargetMode="External" Id="rId28"/><Relationship Type="http://schemas.openxmlformats.org/officeDocument/2006/relationships/table" Target="/xl/tables/table1.xml" Id="rId29"/></Relationships>
</file>

<file path=xl/worksheets/_rels/sheet3.xml.rels><Relationships xmlns="http://schemas.openxmlformats.org/package/2006/relationships"><Relationship Type="http://schemas.openxmlformats.org/officeDocument/2006/relationships/hyperlink" Target="https://help.meshy.ai/en/articles/16815622-how-many-credits-does-each-meshy-api-task-cost" TargetMode="External" Id="rId1"/><Relationship Type="http://schemas.openxmlformats.org/officeDocument/2006/relationships/hyperlink" Target="https://help.meshy.ai/en/articles/16815622-how-many-credits-does-each-meshy-api-task-cost" TargetMode="External" Id="rId2"/><Relationship Type="http://schemas.openxmlformats.org/officeDocument/2006/relationships/hyperlink" Target="https://help.meshy.ai/en/articles/16815622-how-many-credits-does-each-meshy-api-task-cost" TargetMode="External" Id="rId3"/><Relationship Type="http://schemas.openxmlformats.org/officeDocument/2006/relationships/hyperlink" Target="https://help.meshy.ai/en/articles/16815622/how-many-credits-does-each-meshy-api-task-cost" TargetMode="External" Id="rId4"/><Relationship Type="http://schemas.openxmlformats.org/officeDocument/2006/relationships/hyperlink" Target="https://developers.tripo3d.ai/en" TargetMode="External" Id="rId5"/><Relationship Type="http://schemas.openxmlformats.org/officeDocument/2006/relationships/hyperlink" Target="https://developers.tripo3d.ai/en" TargetMode="External" Id="rId6"/><Relationship Type="http://schemas.openxmlformats.org/officeDocument/2006/relationships/hyperlink" Target="https://developers.tripo3d.ai/en" TargetMode="External" Id="rId7"/><Relationship Type="http://schemas.openxmlformats.org/officeDocument/2006/relationships/hyperlink" Target="https://developers.tripo3d.ai/en" TargetMode="External" Id="rId8"/><Relationship Type="http://schemas.openxmlformats.org/officeDocument/2006/relationships/hyperlink" Target="https://developers.tripo3d.ai/en" TargetMode="External" Id="rId9"/><Relationship Type="http://schemas.openxmlformats.org/officeDocument/2006/relationships/hyperlink" Target="https://developers.tripo3d.ai/en" TargetMode="External" Id="rId10"/><Relationship Type="http://schemas.openxmlformats.org/officeDocument/2006/relationships/hyperlink" Target="https://developers.tripo3d.ai/en" TargetMode="External" Id="rId11"/><Relationship Type="http://schemas.openxmlformats.org/officeDocument/2006/relationships/hyperlink" Target="https://docs.hyper3d.ai/en/api-specification/rodin-gen2-5" TargetMode="External" Id="rId12"/><Relationship Type="http://schemas.openxmlformats.org/officeDocument/2006/relationships/hyperlink" Target="https://docs.hyper3d.ai/en/api-specification/rodin-gen2-5" TargetMode="External" Id="rId13"/><Relationship Type="http://schemas.openxmlformats.org/officeDocument/2006/relationships/hyperlink" Target="https://docs.hyper3d.ai/en/api-specification/rodin-gen2-5" TargetMode="External" Id="rId14"/><Relationship Type="http://schemas.openxmlformats.org/officeDocument/2006/relationships/hyperlink" Target="https://docs.hyper3d.ai/en/api-specification/generate-texture" TargetMode="External" Id="rId15"/><Relationship Type="http://schemas.openxmlformats.org/officeDocument/2006/relationships/hyperlink" Target="https://cloud.tencent.com/" TargetMode="External" Id="rId16"/><Relationship Type="http://schemas.openxmlformats.org/officeDocument/2006/relationships/table" Target="/xl/tables/table2.xml" Id="rId17"/></Relationships>
</file>

<file path=xl/worksheets/_rels/sheet4.xml.rels><Relationships xmlns="http://schemas.openxmlformats.org/package/2006/relationships"><Relationship Type="http://schemas.openxmlformats.org/officeDocument/2006/relationships/hyperlink" Target="https://vercel.com/pricing" TargetMode="External" Id="rId1"/><Relationship Type="http://schemas.openxmlformats.org/officeDocument/2006/relationships/hyperlink" Target="https://supabase.com/pricing" TargetMode="External" Id="rId2"/><Relationship Type="http://schemas.openxmlformats.org/officeDocument/2006/relationships/hyperlink" Target="https://supabase.com/docs/guides/platform/billing-on-supabase" TargetMode="External" Id="rId3"/><Relationship Type="http://schemas.openxmlformats.org/officeDocument/2006/relationships/hyperlink" Target="https://supabase.com/pricing" TargetMode="External" Id="rId4"/><Relationship Type="http://schemas.openxmlformats.org/officeDocument/2006/relationships/hyperlink" Target="https://developers.cloudflare.com/r2/pricing/" TargetMode="External" Id="rId5"/><Relationship Type="http://schemas.openxmlformats.org/officeDocument/2006/relationships/hyperlink" Target="https://developers.cloudflare.com/r2/pricing/" TargetMode="External" Id="rId6"/><Relationship Type="http://schemas.openxmlformats.org/officeDocument/2006/relationships/hyperlink" Target="https://resend.com/pricing" TargetMode="External" Id="rId7"/><Relationship Type="http://schemas.openxmlformats.org/officeDocument/2006/relationships/hyperlink" Target="https://sentry.io/pricing" TargetMode="External" Id="rId8"/><Relationship Type="http://schemas.openxmlformats.org/officeDocument/2006/relationships/hyperlink" Target="https://render.com/pricing" TargetMode="External" Id="rId9"/><Relationship Type="http://schemas.openxmlformats.org/officeDocument/2006/relationships/hyperlink" Target="https://www.cloudflare.com/products/registrar/" TargetMode="External" Id="rId10"/><Relationship Type="http://schemas.openxmlformats.org/officeDocument/2006/relationships/table" Target="/xl/tables/table3.xml" Id="rId11"/></Relationships>
</file>

<file path=xl/worksheets/_rels/sheet5.xml.rels><Relationships xmlns="http://schemas.openxmlformats.org/package/2006/relationships"><Relationship Type="http://schemas.openxmlformats.org/officeDocument/2006/relationships/hyperlink" Target="https://developers.openai.com/api/docs/pricing" TargetMode="External" Id="rId1"/><Relationship Type="http://schemas.openxmlformats.org/officeDocument/2006/relationships/hyperlink" Target="https://developers.openai.com/api/docs/pricing" TargetMode="External" Id="rId2"/><Relationship Type="http://schemas.openxmlformats.org/officeDocument/2006/relationships/hyperlink" Target="https://developers.openai.com/api/docs/pricing" TargetMode="External" Id="rId3"/><Relationship Type="http://schemas.openxmlformats.org/officeDocument/2006/relationships/hyperlink" Target="https://developers.openai.com/api/docs/models/text-embedding-3-small" TargetMode="External" Id="rId4"/><Relationship Type="http://schemas.openxmlformats.org/officeDocument/2006/relationships/hyperlink" Target="https://developers.openai.com/api/docs/models/text-embedding-3-large" TargetMode="External" Id="rId5"/><Relationship Type="http://schemas.openxmlformats.org/officeDocument/2006/relationships/hyperlink" Target="https://ai.google.dev/gemini-api/docs/pricing" TargetMode="External" Id="rId6"/><Relationship Type="http://schemas.openxmlformats.org/officeDocument/2006/relationships/hyperlink" Target="https://ai.google.dev/gemini-api/docs/gemini-3" TargetMode="External" Id="rId7"/><Relationship Type="http://schemas.openxmlformats.org/officeDocument/2006/relationships/hyperlink" Target="https://ai.google.dev/gemini-api/docs/gemini-3" TargetMode="External" Id="rId8"/><Relationship Type="http://schemas.openxmlformats.org/officeDocument/2006/relationships/table" Target="/xl/tables/table4.xml" Id="rId9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https://ai.google.dev/gemini-api/docs/pricing" TargetMode="External" Id="rId1"/><Relationship Type="http://schemas.openxmlformats.org/officeDocument/2006/relationships/hyperlink" Target="https://ai.google.dev/gemini-api/docs/gemini-3" TargetMode="External" Id="rId2"/><Relationship Type="http://schemas.openxmlformats.org/officeDocument/2006/relationships/hyperlink" Target="https://developers.openai.com/api/docs/pricing" TargetMode="External" Id="rId3"/><Relationship Type="http://schemas.openxmlformats.org/officeDocument/2006/relationships/hyperlink" Target="https://developers.openai.com/api/docs/guides/image-generation/" TargetMode="External" Id="rId4"/><Relationship Type="http://schemas.openxmlformats.org/officeDocument/2006/relationships/hyperlink" Target="https://github.com/black-forest-labs/skills/blob/master/skills/bfl-api/SKILL.md" TargetMode="External" Id="rId5"/><Relationship Type="http://schemas.openxmlformats.org/officeDocument/2006/relationships/hyperlink" Target="https://ideogram.ai/pricing/?tool=ideogram" TargetMode="External" Id="rId6"/><Relationship Type="http://schemas.openxmlformats.org/officeDocument/2006/relationships/hyperlink" Target="https://help.meshy.ai/en/articles/16815622-how-many-credits-does-each-meshy-api-task-cost" TargetMode="External" Id="rId7"/><Relationship Type="http://schemas.openxmlformats.org/officeDocument/2006/relationships/hyperlink" Target="https://developers.tripo3d.ai/en" TargetMode="External" Id="rId8"/><Relationship Type="http://schemas.openxmlformats.org/officeDocument/2006/relationships/hyperlink" Target="https://docs.hyper3d.ai/en/api-specification/rodin-gen2-5" TargetMode="External" Id="rId9"/><Relationship Type="http://schemas.openxmlformats.org/officeDocument/2006/relationships/hyperlink" Target="https://docs.hyper3d.ai/en/api-specification/generate-texture" TargetMode="External" Id="rId10"/><Relationship Type="http://schemas.openxmlformats.org/officeDocument/2006/relationships/hyperlink" Target="https://vercel.com/pricing" TargetMode="External" Id="rId11"/><Relationship Type="http://schemas.openxmlformats.org/officeDocument/2006/relationships/hyperlink" Target="https://supabase.com/pricing" TargetMode="External" Id="rId12"/><Relationship Type="http://schemas.openxmlformats.org/officeDocument/2006/relationships/hyperlink" Target="https://supabase.com/docs/guides/platform/billing-on-supabase" TargetMode="External" Id="rId13"/><Relationship Type="http://schemas.openxmlformats.org/officeDocument/2006/relationships/hyperlink" Target="https://developers.cloudflare.com/r2/pricing/" TargetMode="External" Id="rId14"/><Relationship Type="http://schemas.openxmlformats.org/officeDocument/2006/relationships/hyperlink" Target="https://developers.openai.com/api/docs/models/text-embedding-3-large" TargetMode="External" Id="rId15"/><Relationship Type="http://schemas.openxmlformats.org/officeDocument/2006/relationships/hyperlink" Target="https://cloud.tencent.com/" TargetMode="External" Id="rId16"/><Relationship Type="http://schemas.openxmlformats.org/officeDocument/2006/relationships/hyperlink" Target="https://resend.com/pricing" TargetMode="External" Id="rId17"/><Relationship Type="http://schemas.openxmlformats.org/officeDocument/2006/relationships/hyperlink" Target="https://sentry.io/pricing" TargetMode="External" Id="rId18"/><Relationship Type="http://schemas.openxmlformats.org/officeDocument/2006/relationships/hyperlink" Target="https://render.com/pricing" TargetMode="External" Id="rId19"/><Relationship Type="http://schemas.openxmlformats.org/officeDocument/2006/relationships/hyperlink" Target="https://www.cloudflare.com/products/registrar/" TargetMode="External" Id="rId20"/><Relationship Type="http://schemas.openxmlformats.org/officeDocument/2006/relationships/table" Target="/xl/tables/table7.xml" Id="rId2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AI Generation API Costing Research Workbook</t>
        </is>
      </c>
    </row>
    <row r="2">
      <c r="A2" s="2" t="inlineStr">
        <is>
          <t>Research snapshot: 15 Oct 2026 | USD list pricing where published | source links included | estimates and unresolved conversions clearly labelled</t>
        </is>
      </c>
    </row>
    <row r="3"/>
    <row r="4" ht="42" customHeight="1">
      <c r="A4" s="3" t="inlineStr">
        <is>
          <t>Purpose</t>
        </is>
      </c>
      <c r="B4" s="4" t="inlineStr">
        <is>
          <t>A source-linked dataset for a monthly image + 3D-generation calculator and combination cards.</t>
        </is>
      </c>
    </row>
    <row r="5" ht="42" customHeight="1">
      <c r="A5" s="3" t="inlineStr">
        <is>
          <t>Sheets</t>
        </is>
      </c>
      <c r="B5" s="4" t="inlineStr">
        <is>
          <t>Image API Pricing; 3D API Pricing; Infrastructure Pricing; LLM &amp; Embeddings; Monthly Calculator; Combination Cards; Quality Benchmark; Source Register; Verification Backlog.</t>
        </is>
      </c>
    </row>
    <row r="6" ht="42" customHeight="1">
      <c r="A6" s="3" t="inlineStr">
        <is>
          <t>Price status</t>
        </is>
      </c>
      <c r="B6" s="4" t="inlineStr">
        <is>
          <t>Published = found on a provider page. Estimated = indicative estimator value, not a universal fixed price. Needs confirmation = required conversion/plan/endpoint price was not verified; do not silently fill it with a guess.</t>
        </is>
      </c>
    </row>
    <row r="7" ht="42" customHeight="1">
      <c r="A7" s="3" t="inlineStr">
        <is>
          <t>Price freshness</t>
        </is>
      </c>
      <c r="B7" s="4" t="inlineStr">
        <is>
          <t>Pricing can change. Every model row includes a source URL; store model ID, effective date and unit in your product database, and re-check before launch.</t>
        </is>
      </c>
    </row>
    <row r="8" ht="42" customHeight="1">
      <c r="A8" s="3" t="inlineStr">
        <is>
          <t>Quality index</t>
        </is>
      </c>
      <c r="B8" s="4" t="inlineStr">
        <is>
          <t>No invented provider quality scores are supplied. Use identical exhibition-stall prompts/references and fill the benchmark sheet; weighted indices then calculate.</t>
        </is>
      </c>
    </row>
    <row r="9" ht="42" customHeight="1">
      <c r="A9" s="3" t="inlineStr">
        <is>
          <t>Architecture warning</t>
        </is>
      </c>
      <c r="B9" s="4" t="inlineStr">
        <is>
          <t>A beautiful image is not dimensionally accurate CAD. Keep image quality separate from 3D geometry/editability; use your own spatial engine for stall dimensions, placement, constraints and BOQ/BOM.</t>
        </is>
      </c>
    </row>
    <row r="10" ht="42" customHeight="1">
      <c r="A10" s="3" t="inlineStr">
        <is>
          <t>Calculator</t>
        </is>
      </c>
      <c r="B10" s="4" t="inlineStr">
        <is>
          <t>Yellow cells are editable. It estimates a single image workflow plus one 3D workflow and infrastructure. Taxes, FX spread, custom discounts, unknown overages and unverified credit conversions are not assumed.</t>
        </is>
      </c>
    </row>
    <row r="11" ht="42" customHeight="1">
      <c r="A11" s="3" t="inlineStr">
        <is>
          <t>Currency</t>
        </is>
      </c>
      <c r="B11" s="4" t="inlineStr">
        <is>
          <t>USD-to-INR is an editable planning assumption, not a live FX quote.</t>
        </is>
      </c>
    </row>
    <row r="12" ht="42" customHeight="1">
      <c r="A12" s="3" t="inlineStr">
        <is>
          <t>Before launch</t>
        </is>
      </c>
      <c r="B12" s="4" t="inlineStr">
        <is>
          <t>Resolve every P0 item in Verification Backlog, test API billing with representative jobs, inspect terms/commercial rights and log real per-task usage.</t>
        </is>
      </c>
    </row>
  </sheetData>
  <mergeCells count="11">
    <mergeCell ref="B8:H8"/>
    <mergeCell ref="B9:H9"/>
    <mergeCell ref="B4:H4"/>
    <mergeCell ref="A2:H2"/>
    <mergeCell ref="B12:H12"/>
    <mergeCell ref="B6:H6"/>
    <mergeCell ref="B7:H7"/>
    <mergeCell ref="A1:H1"/>
    <mergeCell ref="B10:H10"/>
    <mergeCell ref="B11:H11"/>
    <mergeCell ref="B5:H5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23" customWidth="1" min="3" max="3"/>
    <col width="23" customWidth="1" min="4" max="4"/>
    <col width="20" customWidth="1" min="5" max="5"/>
    <col width="22" customWidth="1" min="6" max="6"/>
    <col width="20" customWidth="1" min="7" max="7"/>
    <col width="48" customWidth="1" min="8" max="8"/>
    <col width="40" customWidth="1" min="9" max="9"/>
    <col width="52" customWidth="1" min="10" max="10"/>
  </cols>
  <sheetData>
    <row r="1" ht="30" customHeight="1">
      <c r="A1" s="1" t="inlineStr">
        <is>
          <t>Image API Pricing</t>
        </is>
      </c>
    </row>
    <row r="2" ht="34" customHeight="1">
      <c r="A2" s="2" t="inlineStr">
        <is>
          <t>Published prices from provider pages unless labelled estimate. Confirm model IDs, region and API availability before production.</t>
        </is>
      </c>
    </row>
    <row r="3"/>
    <row r="4" ht="40" customHeight="1">
      <c r="A4" s="5" t="inlineStr">
        <is>
          <t>Provider</t>
        </is>
      </c>
      <c r="B4" s="5" t="inlineStr">
        <is>
          <t>Model / endpoint</t>
        </is>
      </c>
      <c r="C4" s="5" t="inlineStr">
        <is>
          <t>Operation</t>
        </is>
      </c>
      <c r="D4" s="5" t="inlineStr">
        <is>
          <t>Resolution / tier</t>
        </is>
      </c>
      <c r="E4" s="5" t="inlineStr">
        <is>
          <t>Price</t>
        </is>
      </c>
      <c r="F4" s="5" t="inlineStr">
        <is>
          <t>Billing unit</t>
        </is>
      </c>
      <c r="G4" s="5" t="inlineStr">
        <is>
          <t>Status</t>
        </is>
      </c>
      <c r="H4" s="5" t="inlineStr">
        <is>
          <t>Extra charges / caveats</t>
        </is>
      </c>
      <c r="I4" s="5" t="inlineStr">
        <is>
          <t>Quality / capability notes</t>
        </is>
      </c>
      <c r="J4" s="5" t="inlineStr">
        <is>
          <t>Official source URL</t>
        </is>
      </c>
    </row>
    <row r="5" ht="45" customHeight="1">
      <c r="A5" s="6" t="inlineStr">
        <is>
          <t>Google</t>
        </is>
      </c>
      <c r="B5" s="6" t="inlineStr">
        <is>
          <t>gemini-3.1-flash-image / Nano Banana 2</t>
        </is>
      </c>
      <c r="C5" s="6" t="inlineStr">
        <is>
          <t>Generate</t>
        </is>
      </c>
      <c r="D5" s="6" t="inlineStr">
        <is>
          <t>0.5K</t>
        </is>
      </c>
      <c r="E5" s="6" t="inlineStr">
        <is>
          <t>0.045</t>
        </is>
      </c>
      <c r="F5" s="6" t="inlineStr">
        <is>
          <t>USD/image</t>
        </is>
      </c>
      <c r="G5" s="6" t="inlineStr">
        <is>
          <t>Published</t>
        </is>
      </c>
      <c r="H5" s="6" t="inlineStr">
        <is>
          <t>Standard output price; input tokens separately billed; batch rate about $0.022/image.</t>
        </is>
      </c>
      <c r="I5" s="6" t="inlineStr">
        <is>
          <t>Resolution-priced image generation and editing.</t>
        </is>
      </c>
      <c r="J5" s="7" t="inlineStr">
        <is>
          <t>https://ai.google.dev/gemini-api/docs/pricing</t>
        </is>
      </c>
    </row>
    <row r="6" ht="45" customHeight="1">
      <c r="A6" s="8" t="inlineStr">
        <is>
          <t>Google</t>
        </is>
      </c>
      <c r="B6" s="8" t="inlineStr">
        <is>
          <t>gemini-3.1-flash-image / Nano Banana 2</t>
        </is>
      </c>
      <c r="C6" s="8" t="inlineStr">
        <is>
          <t>Generate</t>
        </is>
      </c>
      <c r="D6" s="8" t="inlineStr">
        <is>
          <t>1K</t>
        </is>
      </c>
      <c r="E6" s="8" t="inlineStr">
        <is>
          <t>0.067</t>
        </is>
      </c>
      <c r="F6" s="8" t="inlineStr">
        <is>
          <t>USD/image</t>
        </is>
      </c>
      <c r="G6" s="8" t="inlineStr">
        <is>
          <t>Published</t>
        </is>
      </c>
      <c r="H6" s="8" t="inlineStr">
        <is>
          <t>Input text/image $0.50 per 1M tokens on standard tier; batch approx $0.034/image.</t>
        </is>
      </c>
      <c r="I6" s="8" t="inlineStr">
        <is>
          <t>High-volume image generation.</t>
        </is>
      </c>
      <c r="J6" s="7" t="inlineStr">
        <is>
          <t>https://ai.google.dev/gemini-api/docs/pricing</t>
        </is>
      </c>
    </row>
    <row r="7" ht="45" customHeight="1">
      <c r="A7" s="6" t="inlineStr">
        <is>
          <t>Google</t>
        </is>
      </c>
      <c r="B7" s="6" t="inlineStr">
        <is>
          <t>gemini-3.1-flash-image / Nano Banana 2</t>
        </is>
      </c>
      <c r="C7" s="6" t="inlineStr">
        <is>
          <t>Generate</t>
        </is>
      </c>
      <c r="D7" s="6" t="inlineStr">
        <is>
          <t>2K</t>
        </is>
      </c>
      <c r="E7" s="6" t="inlineStr">
        <is>
          <t>0.101</t>
        </is>
      </c>
      <c r="F7" s="6" t="inlineStr">
        <is>
          <t>USD/image</t>
        </is>
      </c>
      <c r="G7" s="6" t="inlineStr">
        <is>
          <t>Published</t>
        </is>
      </c>
      <c r="H7" s="6" t="inlineStr">
        <is>
          <t>Batch approx $0.050/image.</t>
        </is>
      </c>
      <c r="I7" s="6" t="inlineStr">
        <is>
          <t>Resolution-priced.</t>
        </is>
      </c>
      <c r="J7" s="7" t="inlineStr">
        <is>
          <t>https://ai.google.dev/gemini-api/docs/pricing</t>
        </is>
      </c>
    </row>
    <row r="8" ht="45" customHeight="1">
      <c r="A8" s="8" t="inlineStr">
        <is>
          <t>Google</t>
        </is>
      </c>
      <c r="B8" s="8" t="inlineStr">
        <is>
          <t>gemini-3.1-flash-image / Nano Banana 2</t>
        </is>
      </c>
      <c r="C8" s="8" t="inlineStr">
        <is>
          <t>Generate</t>
        </is>
      </c>
      <c r="D8" s="8" t="inlineStr">
        <is>
          <t>4K</t>
        </is>
      </c>
      <c r="E8" s="8" t="inlineStr">
        <is>
          <t>0.151</t>
        </is>
      </c>
      <c r="F8" s="8" t="inlineStr">
        <is>
          <t>USD/image</t>
        </is>
      </c>
      <c r="G8" s="8" t="inlineStr">
        <is>
          <t>Published</t>
        </is>
      </c>
      <c r="H8" s="8" t="inlineStr">
        <is>
          <t>Batch approx $0.076/image.</t>
        </is>
      </c>
      <c r="I8" s="8" t="inlineStr">
        <is>
          <t>Resolution-priced.</t>
        </is>
      </c>
      <c r="J8" s="7" t="inlineStr">
        <is>
          <t>https://ai.google.dev/gemini-api/docs/pricing</t>
        </is>
      </c>
    </row>
    <row r="9" ht="45" customHeight="1">
      <c r="A9" s="6" t="inlineStr">
        <is>
          <t>Google</t>
        </is>
      </c>
      <c r="B9" s="6" t="inlineStr">
        <is>
          <t>gemini-3.1-flash-image / Nano Banana 2</t>
        </is>
      </c>
      <c r="C9" s="6" t="inlineStr">
        <is>
          <t>Batch generation</t>
        </is>
      </c>
      <c r="D9" s="6" t="inlineStr">
        <is>
          <t>1K / 2K / 4K</t>
        </is>
      </c>
      <c r="E9" s="6" t="inlineStr">
        <is>
          <t>0.034 / 0.050 / 0.076</t>
        </is>
      </c>
      <c r="F9" s="6" t="inlineStr">
        <is>
          <t>USD/image by resolution</t>
        </is>
      </c>
      <c r="G9" s="6" t="inlineStr">
        <is>
          <t>Published</t>
        </is>
      </c>
      <c r="H9" s="6" t="inlineStr">
        <is>
          <t>Asynchronous batch price; model supports Batch API.</t>
        </is>
      </c>
      <c r="I9" s="6" t="inlineStr">
        <is>
          <t>Lower cost if not interactive.</t>
        </is>
      </c>
      <c r="J9" s="7" t="inlineStr">
        <is>
          <t>https://ai.google.dev/gemini-api/docs/pricing</t>
        </is>
      </c>
    </row>
    <row r="10" ht="45" customHeight="1">
      <c r="A10" s="8" t="inlineStr">
        <is>
          <t>Google</t>
        </is>
      </c>
      <c r="B10" s="8" t="inlineStr">
        <is>
          <t>gemini-3-pro-image-preview / Nano Banana Pro</t>
        </is>
      </c>
      <c r="C10" s="8" t="inlineStr">
        <is>
          <t>Generate</t>
        </is>
      </c>
      <c r="D10" s="8" t="inlineStr">
        <is>
          <t>1K</t>
        </is>
      </c>
      <c r="E10" s="8" t="inlineStr">
        <is>
          <t>0.134</t>
        </is>
      </c>
      <c r="F10" s="8" t="inlineStr">
        <is>
          <t>USD/image</t>
        </is>
      </c>
      <c r="G10" s="8" t="inlineStr">
        <is>
          <t>Published</t>
        </is>
      </c>
      <c r="H10" s="8" t="inlineStr">
        <is>
          <t>Input tokens billed separately; confirm preview/stable status.</t>
        </is>
      </c>
      <c r="I10" s="8" t="inlineStr">
        <is>
          <t>Premium image-generation candidate.</t>
        </is>
      </c>
      <c r="J10" s="7" t="inlineStr">
        <is>
          <t>https://ai.google.dev/gemini-api/docs/pricing</t>
        </is>
      </c>
    </row>
    <row r="11" ht="45" customHeight="1">
      <c r="A11" s="6" t="inlineStr">
        <is>
          <t>Google</t>
        </is>
      </c>
      <c r="B11" s="6" t="inlineStr">
        <is>
          <t>gemini-3-pro-image-preview / Nano Banana Pro</t>
        </is>
      </c>
      <c r="C11" s="6" t="inlineStr">
        <is>
          <t>Generate</t>
        </is>
      </c>
      <c r="D11" s="6" t="inlineStr">
        <is>
          <t>2K</t>
        </is>
      </c>
      <c r="E11" s="6" t="inlineStr">
        <is>
          <t>0.134</t>
        </is>
      </c>
      <c r="F11" s="6" t="inlineStr">
        <is>
          <t>USD/image</t>
        </is>
      </c>
      <c r="G11" s="6" t="inlineStr">
        <is>
          <t>Published</t>
        </is>
      </c>
      <c r="H11" s="6" t="inlineStr">
        <is>
          <t>Input tokens billed separately.</t>
        </is>
      </c>
      <c r="I11" s="6" t="inlineStr">
        <is>
          <t>Published rate same as 1K in surfaced table.</t>
        </is>
      </c>
      <c r="J11" s="7" t="inlineStr">
        <is>
          <t>https://ai.google.dev/gemini-api/docs/pricing</t>
        </is>
      </c>
    </row>
    <row r="12" ht="45" customHeight="1">
      <c r="A12" s="8" t="inlineStr">
        <is>
          <t>Google</t>
        </is>
      </c>
      <c r="B12" s="8" t="inlineStr">
        <is>
          <t>gemini-3-pro-image-preview / Nano Banana Pro</t>
        </is>
      </c>
      <c r="C12" s="8" t="inlineStr">
        <is>
          <t>Generate</t>
        </is>
      </c>
      <c r="D12" s="8" t="inlineStr">
        <is>
          <t>4K</t>
        </is>
      </c>
      <c r="E12" s="8" t="inlineStr">
        <is>
          <t>0.240</t>
        </is>
      </c>
      <c r="F12" s="8" t="inlineStr">
        <is>
          <t>USD/image</t>
        </is>
      </c>
      <c r="G12" s="8" t="inlineStr">
        <is>
          <t>Published</t>
        </is>
      </c>
      <c r="H12" s="8" t="inlineStr">
        <is>
          <t>Input tokens billed separately.</t>
        </is>
      </c>
      <c r="I12" s="8" t="inlineStr">
        <is>
          <t>High resolution.</t>
        </is>
      </c>
      <c r="J12" s="7" t="inlineStr">
        <is>
          <t>https://ai.google.dev/gemini-api/docs/pricing</t>
        </is>
      </c>
    </row>
    <row r="13" ht="45" customHeight="1">
      <c r="A13" s="6" t="inlineStr">
        <is>
          <t>Google</t>
        </is>
      </c>
      <c r="B13" s="6" t="inlineStr">
        <is>
          <t>gemini-3.1-flash-lite-image</t>
        </is>
      </c>
      <c r="C13" s="6" t="inlineStr">
        <is>
          <t>Generate</t>
        </is>
      </c>
      <c r="D13" s="6" t="inlineStr">
        <is>
          <t>1K</t>
        </is>
      </c>
      <c r="E13" s="6" t="inlineStr">
        <is>
          <t>0.0336</t>
        </is>
      </c>
      <c r="F13" s="6" t="inlineStr">
        <is>
          <t>USD/image</t>
        </is>
      </c>
      <c r="G13" s="6" t="inlineStr">
        <is>
          <t>Published</t>
        </is>
      </c>
      <c r="H13" s="6" t="inlineStr">
        <is>
          <t>Batch about $0.0168/image; input billed separately.</t>
        </is>
      </c>
      <c r="I13" s="6" t="inlineStr">
        <is>
          <t>Lower-cost option; benchmark quality.</t>
        </is>
      </c>
      <c r="J13" s="7" t="inlineStr">
        <is>
          <t>https://ai.google.dev/gemini-api/docs/pricing</t>
        </is>
      </c>
    </row>
    <row r="14" ht="45" customHeight="1">
      <c r="A14" s="8" t="inlineStr">
        <is>
          <t>OpenAI</t>
        </is>
      </c>
      <c r="B14" s="8" t="inlineStr">
        <is>
          <t>gpt-image-2</t>
        </is>
      </c>
      <c r="C14" s="8" t="inlineStr">
        <is>
          <t>Generate</t>
        </is>
      </c>
      <c r="D14" s="8" t="inlineStr">
        <is>
          <t>1024 square / Low</t>
        </is>
      </c>
      <c r="E14" s="8" t="inlineStr">
        <is>
          <t>0.0151</t>
        </is>
      </c>
      <c r="F14" s="8" t="inlineStr">
        <is>
          <t>USD/image estimate</t>
        </is>
      </c>
      <c r="G14" s="8" t="inlineStr">
        <is>
          <t>Estimated</t>
        </is>
      </c>
      <c r="H14" s="8" t="inlineStr">
        <is>
          <t>Third-party pricing page estimate; actual OpenAI bill is token-priced and varies by input/output.</t>
        </is>
      </c>
      <c r="I14" s="8" t="inlineStr">
        <is>
          <t>Do not treat as guaranteed fixed cost.</t>
        </is>
      </c>
      <c r="J14" s="7" t="inlineStr">
        <is>
          <t>https://developers.openai.com/api/docs/pricing</t>
        </is>
      </c>
    </row>
    <row r="15" ht="45" customHeight="1">
      <c r="A15" s="6" t="inlineStr">
        <is>
          <t>OpenAI</t>
        </is>
      </c>
      <c r="B15" s="6" t="inlineStr">
        <is>
          <t>gpt-image-2</t>
        </is>
      </c>
      <c r="C15" s="6" t="inlineStr">
        <is>
          <t>Generate</t>
        </is>
      </c>
      <c r="D15" s="6" t="inlineStr">
        <is>
          <t>1024 square / Medium</t>
        </is>
      </c>
      <c r="E15" s="6" t="inlineStr">
        <is>
          <t>0.0224</t>
        </is>
      </c>
      <c r="F15" s="6" t="inlineStr">
        <is>
          <t>USD/image estimate</t>
        </is>
      </c>
      <c r="G15" s="6" t="inlineStr">
        <is>
          <t>Estimated</t>
        </is>
      </c>
      <c r="H15" s="6" t="inlineStr">
        <is>
          <t>Third-party estimator example; use usage logs for true unit cost.</t>
        </is>
      </c>
      <c r="I15" s="6" t="inlineStr">
        <is>
          <t>Image generation and editing.</t>
        </is>
      </c>
      <c r="J15" s="7" t="inlineStr">
        <is>
          <t>https://developers.openai.com/api/docs/pricing</t>
        </is>
      </c>
    </row>
    <row r="16" ht="45" customHeight="1">
      <c r="A16" s="8" t="inlineStr">
        <is>
          <t>OpenAI</t>
        </is>
      </c>
      <c r="B16" s="8" t="inlineStr">
        <is>
          <t>gpt-image-2</t>
        </is>
      </c>
      <c r="C16" s="8" t="inlineStr">
        <is>
          <t>Generate</t>
        </is>
      </c>
      <c r="D16" s="8" t="inlineStr">
        <is>
          <t>1024 square / High</t>
        </is>
      </c>
      <c r="E16" s="8" t="inlineStr">
        <is>
          <t>0.0619</t>
        </is>
      </c>
      <c r="F16" s="8" t="inlineStr">
        <is>
          <t>USD/image estimate</t>
        </is>
      </c>
      <c r="G16" s="8" t="inlineStr">
        <is>
          <t>Estimated</t>
        </is>
      </c>
      <c r="H16" s="8" t="inlineStr">
        <is>
          <t>Third-party estimator example; actual cost varies.</t>
        </is>
      </c>
      <c r="I16" s="8" t="inlineStr">
        <is>
          <t>Use official guide and token usage.</t>
        </is>
      </c>
      <c r="J16" s="7" t="inlineStr">
        <is>
          <t>https://developers.openai.com/api/docs/guides/image-generation/</t>
        </is>
      </c>
    </row>
    <row r="17" ht="45" customHeight="1">
      <c r="A17" s="6" t="inlineStr">
        <is>
          <t>OpenAI</t>
        </is>
      </c>
      <c r="B17" s="6" t="inlineStr">
        <is>
          <t>gpt-image-2.5 sunburst / flare</t>
        </is>
      </c>
      <c r="C17" s="6" t="inlineStr">
        <is>
          <t>Generate</t>
        </is>
      </c>
      <c r="D17" s="6" t="inlineStr">
        <is>
          <t>Token-based</t>
        </is>
      </c>
      <c r="E17" s="6" t="inlineStr"/>
      <c r="F17" s="6" t="inlineStr">
        <is>
          <t>tokens</t>
        </is>
      </c>
      <c r="G17" s="6" t="inlineStr">
        <is>
          <t>Needs confirmation</t>
        </is>
      </c>
      <c r="H17" s="6" t="inlineStr">
        <is>
          <t>Official pricing page lists input image, cached input, text input and output rates; calculate from actual token usage.</t>
        </is>
      </c>
      <c r="I17" s="6" t="inlineStr">
        <is>
          <t>Do not hardcode a flat per-image price.</t>
        </is>
      </c>
      <c r="J17" s="7" t="inlineStr">
        <is>
          <t>https://developers.openai.com/api/docs/pricing</t>
        </is>
      </c>
    </row>
    <row r="18" ht="45" customHeight="1">
      <c r="A18" s="8" t="inlineStr">
        <is>
          <t>Black Forest Labs</t>
        </is>
      </c>
      <c r="B18" s="8" t="inlineStr">
        <is>
          <t>FLUX.2 [klein] 4B</t>
        </is>
      </c>
      <c r="C18" s="8" t="inlineStr">
        <is>
          <t>Text-to-image</t>
        </is>
      </c>
      <c r="D18" s="8" t="inlineStr">
        <is>
          <t>1 MP</t>
        </is>
      </c>
      <c r="E18" s="8" t="inlineStr">
        <is>
          <t>0.014</t>
        </is>
      </c>
      <c r="F18" s="8" t="inlineStr">
        <is>
          <t>USD/image</t>
        </is>
      </c>
      <c r="G18" s="8" t="inlineStr">
        <is>
          <t>Published</t>
        </is>
      </c>
      <c r="H18" s="8" t="inlineStr">
        <is>
          <t>Image-to-image listed at $0.015 for 1MP; price scales with megapixels.</t>
        </is>
      </c>
      <c r="I18" s="8" t="inlineStr">
        <is>
          <t>Low-cost candidate.</t>
        </is>
      </c>
      <c r="J18" s="7" t="inlineStr">
        <is>
          <t>https://github.com/black-forest-labs/skills/blob/master/skills/bfl-api/SKILL.md</t>
        </is>
      </c>
    </row>
    <row r="19" ht="45" customHeight="1">
      <c r="A19" s="6" t="inlineStr">
        <is>
          <t>Black Forest Labs</t>
        </is>
      </c>
      <c r="B19" s="6" t="inlineStr">
        <is>
          <t>FLUX.2 [klein] 9B</t>
        </is>
      </c>
      <c r="C19" s="6" t="inlineStr">
        <is>
          <t>Text-to-image</t>
        </is>
      </c>
      <c r="D19" s="6" t="inlineStr">
        <is>
          <t>1 MP</t>
        </is>
      </c>
      <c r="E19" s="6" t="inlineStr">
        <is>
          <t>0.015</t>
        </is>
      </c>
      <c r="F19" s="6" t="inlineStr">
        <is>
          <t>USD/image</t>
        </is>
      </c>
      <c r="G19" s="6" t="inlineStr">
        <is>
          <t>Published</t>
        </is>
      </c>
      <c r="H19" s="6" t="inlineStr">
        <is>
          <t>Image-to-image $0.017/MP.</t>
        </is>
      </c>
      <c r="I19" s="6" t="inlineStr">
        <is>
          <t>Balanced speed/quality candidate.</t>
        </is>
      </c>
      <c r="J19" s="7" t="inlineStr">
        <is>
          <t>https://github.com/black-forest-labs/skills/blob/master/skills/bfl-api/SKILL.md</t>
        </is>
      </c>
    </row>
    <row r="20" ht="45" customHeight="1">
      <c r="A20" s="8" t="inlineStr">
        <is>
          <t>Black Forest Labs</t>
        </is>
      </c>
      <c r="B20" s="8" t="inlineStr">
        <is>
          <t>FLUX.2 [pro]</t>
        </is>
      </c>
      <c r="C20" s="8" t="inlineStr">
        <is>
          <t>Text-to-image</t>
        </is>
      </c>
      <c r="D20" s="8" t="inlineStr">
        <is>
          <t>1 MP</t>
        </is>
      </c>
      <c r="E20" s="8" t="inlineStr">
        <is>
          <t>0.030</t>
        </is>
      </c>
      <c r="F20" s="8" t="inlineStr">
        <is>
          <t>USD/image</t>
        </is>
      </c>
      <c r="G20" s="8" t="inlineStr">
        <is>
          <t>Published</t>
        </is>
      </c>
      <c r="H20" s="8" t="inlineStr">
        <is>
          <t>Image-to-image $0.045/MP; scales by megapixels.</t>
        </is>
      </c>
      <c r="I20" s="8" t="inlineStr">
        <is>
          <t>Production candidate.</t>
        </is>
      </c>
      <c r="J20" s="7" t="inlineStr">
        <is>
          <t>https://github.com/black-forest-labs/skills/blob/master/skills/bfl-api/SKILL.md</t>
        </is>
      </c>
    </row>
    <row r="21" ht="45" customHeight="1">
      <c r="A21" s="6" t="inlineStr">
        <is>
          <t>Black Forest Labs</t>
        </is>
      </c>
      <c r="B21" s="6" t="inlineStr">
        <is>
          <t>FLUX.2 [max]</t>
        </is>
      </c>
      <c r="C21" s="6" t="inlineStr">
        <is>
          <t>Text-to-image</t>
        </is>
      </c>
      <c r="D21" s="6" t="inlineStr">
        <is>
          <t>1 MP</t>
        </is>
      </c>
      <c r="E21" s="6" t="inlineStr">
        <is>
          <t>0.070</t>
        </is>
      </c>
      <c r="F21" s="6" t="inlineStr">
        <is>
          <t>USD/image</t>
        </is>
      </c>
      <c r="G21" s="6" t="inlineStr">
        <is>
          <t>Published</t>
        </is>
      </c>
      <c r="H21" s="6" t="inlineStr">
        <is>
          <t>Image-to-image $0.10/MP.</t>
        </is>
      </c>
      <c r="I21" s="6" t="inlineStr">
        <is>
          <t>Higher-cost quality candidate.</t>
        </is>
      </c>
      <c r="J21" s="7" t="inlineStr">
        <is>
          <t>https://github.com/black-forest-labs/skills/blob/master/skills/bfl-api/SKILL.md</t>
        </is>
      </c>
    </row>
    <row r="22" ht="45" customHeight="1">
      <c r="A22" s="8" t="inlineStr">
        <is>
          <t>Black Forest Labs</t>
        </is>
      </c>
      <c r="B22" s="8" t="inlineStr">
        <is>
          <t>FLUX.2 [flex]</t>
        </is>
      </c>
      <c r="C22" s="8" t="inlineStr">
        <is>
          <t>Text-to-image</t>
        </is>
      </c>
      <c r="D22" s="8" t="inlineStr">
        <is>
          <t>1 MP</t>
        </is>
      </c>
      <c r="E22" s="8" t="inlineStr">
        <is>
          <t>0.050</t>
        </is>
      </c>
      <c r="F22" s="8" t="inlineStr">
        <is>
          <t>USD/image</t>
        </is>
      </c>
      <c r="G22" s="8" t="inlineStr">
        <is>
          <t>Published</t>
        </is>
      </c>
      <c r="H22" s="8" t="inlineStr">
        <is>
          <t>Image-to-image $0.10/MP.</t>
        </is>
      </c>
      <c r="I22" s="8" t="inlineStr">
        <is>
          <t>Typography/controls-oriented candidate per docs.</t>
        </is>
      </c>
      <c r="J22" s="7" t="inlineStr">
        <is>
          <t>https://github.com/black-forest-labs/skills/blob/master/skills/bfl-api/SKILL.md</t>
        </is>
      </c>
    </row>
    <row r="23" ht="45" customHeight="1">
      <c r="A23" s="6" t="inlineStr">
        <is>
          <t>Black Forest Labs</t>
        </is>
      </c>
      <c r="B23" s="6" t="inlineStr">
        <is>
          <t>FLUX.1 Kontext [pro]</t>
        </is>
      </c>
      <c r="C23" s="6" t="inlineStr">
        <is>
          <t>Image edit</t>
        </is>
      </c>
      <c r="D23" s="6" t="inlineStr">
        <is>
          <t>Per image</t>
        </is>
      </c>
      <c r="E23" s="6" t="inlineStr">
        <is>
          <t>0.040</t>
        </is>
      </c>
      <c r="F23" s="6" t="inlineStr">
        <is>
          <t>USD/image</t>
        </is>
      </c>
      <c r="G23" s="6" t="inlineStr">
        <is>
          <t>Published</t>
        </is>
      </c>
      <c r="H23" s="6" t="inlineStr">
        <is>
          <t>Verify endpoint and current pricing calculator.</t>
        </is>
      </c>
      <c r="I23" s="6" t="inlineStr">
        <is>
          <t>Contextual editing candidate.</t>
        </is>
      </c>
      <c r="J23" s="7" t="inlineStr">
        <is>
          <t>https://github.com/black-forest-labs/skills/blob/master/skills/bfl-api/SKILL.md</t>
        </is>
      </c>
    </row>
    <row r="24" ht="45" customHeight="1">
      <c r="A24" s="8" t="inlineStr">
        <is>
          <t>Black Forest Labs</t>
        </is>
      </c>
      <c r="B24" s="8" t="inlineStr">
        <is>
          <t>FLUX1.1 [pro]</t>
        </is>
      </c>
      <c r="C24" s="8" t="inlineStr">
        <is>
          <t>Text-to-image</t>
        </is>
      </c>
      <c r="D24" s="8" t="inlineStr">
        <is>
          <t>Per image</t>
        </is>
      </c>
      <c r="E24" s="8" t="inlineStr">
        <is>
          <t>0.040</t>
        </is>
      </c>
      <c r="F24" s="8" t="inlineStr">
        <is>
          <t>USD/image</t>
        </is>
      </c>
      <c r="G24" s="8" t="inlineStr">
        <is>
          <t>Published</t>
        </is>
      </c>
      <c r="H24" s="8" t="inlineStr">
        <is>
          <t>Ultra/Raw variants have different rates.</t>
        </is>
      </c>
      <c r="I24" s="8" t="inlineStr">
        <is>
          <t>General image-generation candidate.</t>
        </is>
      </c>
      <c r="J24" s="7" t="inlineStr">
        <is>
          <t>https://github.com/black-forest-labs/skills/blob/master/skills/bfl-api/SKILL.md</t>
        </is>
      </c>
    </row>
    <row r="25" ht="45" customHeight="1">
      <c r="A25" s="6" t="inlineStr">
        <is>
          <t>Ideogram</t>
        </is>
      </c>
      <c r="B25" s="6" t="inlineStr">
        <is>
          <t>Ideogram 4.5 Generate Low</t>
        </is>
      </c>
      <c r="C25" s="6" t="inlineStr">
        <is>
          <t>Generate</t>
        </is>
      </c>
      <c r="D25" s="6" t="inlineStr">
        <is>
          <t>1K or 2K</t>
        </is>
      </c>
      <c r="E25" s="6" t="inlineStr">
        <is>
          <t>0.030</t>
        </is>
      </c>
      <c r="F25" s="6" t="inlineStr">
        <is>
          <t>USD/image</t>
        </is>
      </c>
      <c r="G25" s="6" t="inlineStr">
        <is>
          <t>Published</t>
        </is>
      </c>
      <c r="H25" s="6" t="inlineStr">
        <is>
          <t>Billed per image; source-image requests have separate rates.</t>
        </is>
      </c>
      <c r="I25" s="6" t="inlineStr">
        <is>
          <t>Test signage/text accuracy.</t>
        </is>
      </c>
      <c r="J25" s="7" t="inlineStr">
        <is>
          <t>https://ideogram.ai/pricing/?tool=ideogram</t>
        </is>
      </c>
    </row>
    <row r="26" ht="45" customHeight="1">
      <c r="A26" s="8" t="inlineStr">
        <is>
          <t>Ideogram</t>
        </is>
      </c>
      <c r="B26" s="8" t="inlineStr">
        <is>
          <t>Ideogram 4.5 Generate Medium</t>
        </is>
      </c>
      <c r="C26" s="8" t="inlineStr">
        <is>
          <t>Generate</t>
        </is>
      </c>
      <c r="D26" s="8" t="inlineStr">
        <is>
          <t>1K or 2K</t>
        </is>
      </c>
      <c r="E26" s="8" t="inlineStr">
        <is>
          <t>0.060</t>
        </is>
      </c>
      <c r="F26" s="8" t="inlineStr">
        <is>
          <t>USD/image</t>
        </is>
      </c>
      <c r="G26" s="8" t="inlineStr">
        <is>
          <t>Published</t>
        </is>
      </c>
      <c r="H26" s="8" t="inlineStr">
        <is>
          <t>Billed per image.</t>
        </is>
      </c>
      <c r="I26" s="8" t="inlineStr">
        <is>
          <t>Quality tier.</t>
        </is>
      </c>
      <c r="J26" s="7" t="inlineStr">
        <is>
          <t>https://ideogram.ai/pricing/?tool=ideogram</t>
        </is>
      </c>
    </row>
    <row r="27" ht="45" customHeight="1">
      <c r="A27" s="6" t="inlineStr">
        <is>
          <t>Ideogram</t>
        </is>
      </c>
      <c r="B27" s="6" t="inlineStr">
        <is>
          <t>Ideogram 4.5 Generate High</t>
        </is>
      </c>
      <c r="C27" s="6" t="inlineStr">
        <is>
          <t>Generate</t>
        </is>
      </c>
      <c r="D27" s="6" t="inlineStr">
        <is>
          <t>1K or 2K</t>
        </is>
      </c>
      <c r="E27" s="6" t="inlineStr">
        <is>
          <t>0.100</t>
        </is>
      </c>
      <c r="F27" s="6" t="inlineStr">
        <is>
          <t>USD/image</t>
        </is>
      </c>
      <c r="G27" s="6" t="inlineStr">
        <is>
          <t>Published</t>
        </is>
      </c>
      <c r="H27" s="6" t="inlineStr">
        <is>
          <t>Billed per image.</t>
        </is>
      </c>
      <c r="I27" s="6" t="inlineStr">
        <is>
          <t>Quality tier.</t>
        </is>
      </c>
      <c r="J27" s="7" t="inlineStr">
        <is>
          <t>https://ideogram.ai/pricing/?tool=ideogram</t>
        </is>
      </c>
    </row>
    <row r="28" ht="45" customHeight="1">
      <c r="A28" s="8" t="inlineStr">
        <is>
          <t>Ideogram</t>
        </is>
      </c>
      <c r="B28" s="8" t="inlineStr">
        <is>
          <t>Ideogram 4.5 High with source image</t>
        </is>
      </c>
      <c r="C28" s="8" t="inlineStr">
        <is>
          <t>Image-to-image</t>
        </is>
      </c>
      <c r="D28" s="8" t="inlineStr">
        <is>
          <t>1K or 2K</t>
        </is>
      </c>
      <c r="E28" s="8" t="inlineStr">
        <is>
          <t>0.220</t>
        </is>
      </c>
      <c r="F28" s="8" t="inlineStr">
        <is>
          <t>USD/image</t>
        </is>
      </c>
      <c r="G28" s="8" t="inlineStr">
        <is>
          <t>Published</t>
        </is>
      </c>
      <c r="H28" s="8" t="inlineStr">
        <is>
          <t>Source-image endpoint has separate rate.</t>
        </is>
      </c>
      <c r="I28" s="8" t="inlineStr">
        <is>
          <t>Reference-aware workflow.</t>
        </is>
      </c>
      <c r="J28" s="7" t="inlineStr">
        <is>
          <t>https://ideogram.ai/pricing/?tool=ideogram</t>
        </is>
      </c>
    </row>
    <row r="29" ht="45" customHeight="1">
      <c r="A29" s="6" t="inlineStr">
        <is>
          <t>Ideogram</t>
        </is>
      </c>
      <c r="B29" s="6" t="inlineStr">
        <is>
          <t>Ideogram 4.5 Very Low with source image</t>
        </is>
      </c>
      <c r="C29" s="6" t="inlineStr">
        <is>
          <t>Image-to-image</t>
        </is>
      </c>
      <c r="D29" s="6" t="inlineStr">
        <is>
          <t>1K or 2K</t>
        </is>
      </c>
      <c r="E29" s="6" t="inlineStr">
        <is>
          <t>0.008</t>
        </is>
      </c>
      <c r="F29" s="6" t="inlineStr">
        <is>
          <t>USD/image</t>
        </is>
      </c>
      <c r="G29" s="6" t="inlineStr">
        <is>
          <t>Published</t>
        </is>
      </c>
      <c r="H29" s="6" t="inlineStr">
        <is>
          <t>Source-image endpoint.</t>
        </is>
      </c>
      <c r="I29" s="6" t="inlineStr">
        <is>
          <t>Low-cost reference workflow.</t>
        </is>
      </c>
      <c r="J29" s="7" t="inlineStr">
        <is>
          <t>https://ideogram.ai/pricing/?tool=ideogram</t>
        </is>
      </c>
    </row>
    <row r="30" ht="45" customHeight="1">
      <c r="A30" s="8" t="inlineStr">
        <is>
          <t>Ideogram</t>
        </is>
      </c>
      <c r="B30" s="8" t="inlineStr">
        <is>
          <t>Ideogram 4.0 Turbo / Default / Quality</t>
        </is>
      </c>
      <c r="C30" s="8" t="inlineStr">
        <is>
          <t>Generate</t>
        </is>
      </c>
      <c r="D30" s="8" t="inlineStr">
        <is>
          <t>Tier rates</t>
        </is>
      </c>
      <c r="E30" s="8" t="inlineStr">
        <is>
          <t>0.030 / 0.060 / 0.100</t>
        </is>
      </c>
      <c r="F30" s="8" t="inlineStr">
        <is>
          <t>USD/image</t>
        </is>
      </c>
      <c r="G30" s="8" t="inlineStr">
        <is>
          <t>Published</t>
        </is>
      </c>
      <c r="H30" s="8" t="inlineStr">
        <is>
          <t>See page for endpoint/resolution details.</t>
        </is>
      </c>
      <c r="I30" s="8" t="inlineStr">
        <is>
          <t>Previous generation family still listed.</t>
        </is>
      </c>
      <c r="J30" s="7" t="inlineStr">
        <is>
          <t>https://ideogram.ai/pricing/?tool=ideogram</t>
        </is>
      </c>
    </row>
    <row r="31" ht="45" customHeight="1">
      <c r="A31" s="6" t="inlineStr">
        <is>
          <t>Ideogram</t>
        </is>
      </c>
      <c r="B31" s="6" t="inlineStr">
        <is>
          <t>P-Image Very Low</t>
        </is>
      </c>
      <c r="C31" s="6" t="inlineStr">
        <is>
          <t>Generate</t>
        </is>
      </c>
      <c r="D31" s="6" t="inlineStr">
        <is>
          <t>1K / 2K</t>
        </is>
      </c>
      <c r="E31" s="6" t="inlineStr">
        <is>
          <t>0.003 / 0.006</t>
        </is>
      </c>
      <c r="F31" s="6" t="inlineStr">
        <is>
          <t>USD/image</t>
        </is>
      </c>
      <c r="G31" s="6" t="inlineStr">
        <is>
          <t>Published</t>
        </is>
      </c>
      <c r="H31" s="6" t="inlineStr">
        <is>
          <t>Quality/resolution tier.</t>
        </is>
      </c>
      <c r="I31" s="6" t="inlineStr">
        <is>
          <t>Low-cost candidate; benchmark.</t>
        </is>
      </c>
      <c r="J31" s="7" t="inlineStr">
        <is>
          <t>https://ideogram.ai/pricing/?tool=ideogram</t>
        </is>
      </c>
    </row>
    <row r="32" ht="45" customHeight="1">
      <c r="A32" s="8" t="inlineStr">
        <is>
          <t>Ideogram</t>
        </is>
      </c>
      <c r="B32" s="8" t="inlineStr">
        <is>
          <t>P-Image Very High</t>
        </is>
      </c>
      <c r="C32" s="8" t="inlineStr">
        <is>
          <t>Generate</t>
        </is>
      </c>
      <c r="D32" s="8" t="inlineStr">
        <is>
          <t>1K / 2K</t>
        </is>
      </c>
      <c r="E32" s="8" t="inlineStr">
        <is>
          <t>0.033 / 0.066</t>
        </is>
      </c>
      <c r="F32" s="8" t="inlineStr">
        <is>
          <t>USD/image</t>
        </is>
      </c>
      <c r="G32" s="8" t="inlineStr">
        <is>
          <t>Published</t>
        </is>
      </c>
      <c r="H32" s="8" t="inlineStr">
        <is>
          <t>Quality/resolution tier.</t>
        </is>
      </c>
      <c r="I32" s="8" t="inlineStr">
        <is>
          <t>Higher tier.</t>
        </is>
      </c>
      <c r="J32" s="7" t="inlineStr">
        <is>
          <t>https://ideogram.ai/pricing/?tool=ideogram</t>
        </is>
      </c>
    </row>
  </sheetData>
  <autoFilter ref="A4:J32"/>
  <mergeCells count="2">
    <mergeCell ref="A1:J1"/>
    <mergeCell ref="A2:J2"/>
  </mergeCells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  <hyperlink xmlns:r="http://schemas.openxmlformats.org/officeDocument/2006/relationships" ref="J10" r:id="rId6"/>
    <hyperlink xmlns:r="http://schemas.openxmlformats.org/officeDocument/2006/relationships" ref="J11" r:id="rId7"/>
    <hyperlink xmlns:r="http://schemas.openxmlformats.org/officeDocument/2006/relationships" ref="J12" r:id="rId8"/>
    <hyperlink xmlns:r="http://schemas.openxmlformats.org/officeDocument/2006/relationships" ref="J13" r:id="rId9"/>
    <hyperlink xmlns:r="http://schemas.openxmlformats.org/officeDocument/2006/relationships" ref="J14" r:id="rId10"/>
    <hyperlink xmlns:r="http://schemas.openxmlformats.org/officeDocument/2006/relationships" ref="J15" r:id="rId11"/>
    <hyperlink xmlns:r="http://schemas.openxmlformats.org/officeDocument/2006/relationships" ref="J16" r:id="rId12"/>
    <hyperlink xmlns:r="http://schemas.openxmlformats.org/officeDocument/2006/relationships" ref="J17" r:id="rId13"/>
    <hyperlink xmlns:r="http://schemas.openxmlformats.org/officeDocument/2006/relationships" ref="J18" r:id="rId14"/>
    <hyperlink xmlns:r="http://schemas.openxmlformats.org/officeDocument/2006/relationships" ref="J19" r:id="rId15"/>
    <hyperlink xmlns:r="http://schemas.openxmlformats.org/officeDocument/2006/relationships" ref="J20" r:id="rId16"/>
    <hyperlink xmlns:r="http://schemas.openxmlformats.org/officeDocument/2006/relationships" ref="J21" r:id="rId17"/>
    <hyperlink xmlns:r="http://schemas.openxmlformats.org/officeDocument/2006/relationships" ref="J22" r:id="rId18"/>
    <hyperlink xmlns:r="http://schemas.openxmlformats.org/officeDocument/2006/relationships" ref="J23" r:id="rId19"/>
    <hyperlink xmlns:r="http://schemas.openxmlformats.org/officeDocument/2006/relationships" ref="J24" r:id="rId20"/>
    <hyperlink xmlns:r="http://schemas.openxmlformats.org/officeDocument/2006/relationships" ref="J25" r:id="rId21"/>
    <hyperlink xmlns:r="http://schemas.openxmlformats.org/officeDocument/2006/relationships" ref="J26" r:id="rId22"/>
    <hyperlink xmlns:r="http://schemas.openxmlformats.org/officeDocument/2006/relationships" ref="J27" r:id="rId23"/>
    <hyperlink xmlns:r="http://schemas.openxmlformats.org/officeDocument/2006/relationships" ref="J28" r:id="rId24"/>
    <hyperlink xmlns:r="http://schemas.openxmlformats.org/officeDocument/2006/relationships" ref="J29" r:id="rId25"/>
    <hyperlink xmlns:r="http://schemas.openxmlformats.org/officeDocument/2006/relationships" ref="J30" r:id="rId26"/>
    <hyperlink xmlns:r="http://schemas.openxmlformats.org/officeDocument/2006/relationships" ref="J31" r:id="rId27"/>
    <hyperlink xmlns:r="http://schemas.openxmlformats.org/officeDocument/2006/relationships" ref="J32" r:id="rId28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29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3" customWidth="1" min="3" max="3"/>
    <col width="24" customWidth="1" min="4" max="4"/>
    <col width="23" customWidth="1" min="5" max="5"/>
    <col width="18" customWidth="1" min="6" max="6"/>
    <col width="26" customWidth="1" min="7" max="7"/>
    <col width="40" customWidth="1" min="8" max="8"/>
    <col width="44" customWidth="1" min="9" max="9"/>
    <col width="52" customWidth="1" min="10" max="10"/>
  </cols>
  <sheetData>
    <row r="1" ht="30" customHeight="1">
      <c r="A1" s="1" t="inlineStr">
        <is>
          <t>3D API Pricing</t>
        </is>
      </c>
    </row>
    <row r="2" ht="34" customHeight="1">
      <c r="A2" s="2" t="inlineStr">
        <is>
          <t>Credit consumption is not the same as USD cost. Meshy and Rodin require a confirmed credit-to-USD mapping before cost ranking.</t>
        </is>
      </c>
    </row>
    <row r="3"/>
    <row r="4" ht="40" customHeight="1">
      <c r="A4" s="5" t="inlineStr">
        <is>
          <t>Provider</t>
        </is>
      </c>
      <c r="B4" s="5" t="inlineStr">
        <is>
          <t>Model / API</t>
        </is>
      </c>
      <c r="C4" s="5" t="inlineStr">
        <is>
          <t>Operation</t>
        </is>
      </c>
      <c r="D4" s="5" t="inlineStr">
        <is>
          <t>Quality / option</t>
        </is>
      </c>
      <c r="E4" s="5" t="inlineStr">
        <is>
          <t>Published cost</t>
        </is>
      </c>
      <c r="F4" s="5" t="inlineStr">
        <is>
          <t>Unit</t>
        </is>
      </c>
      <c r="G4" s="5" t="inlineStr">
        <is>
          <t>USD equivalent</t>
        </is>
      </c>
      <c r="H4" s="5" t="inlineStr">
        <is>
          <t>Status / gaps</t>
        </is>
      </c>
      <c r="I4" s="5" t="inlineStr">
        <is>
          <t>Cost notes</t>
        </is>
      </c>
      <c r="J4" s="5" t="inlineStr">
        <is>
          <t>Official source URL</t>
        </is>
      </c>
    </row>
    <row r="5" ht="45" customHeight="1">
      <c r="A5" s="6" t="inlineStr">
        <is>
          <t>Meshy</t>
        </is>
      </c>
      <c r="B5" s="6" t="inlineStr">
        <is>
          <t>Current Meshy API models</t>
        </is>
      </c>
      <c r="C5" s="6" t="inlineStr">
        <is>
          <t>Image-to-3D</t>
        </is>
      </c>
      <c r="D5" s="6" t="inlineStr">
        <is>
          <t>No texture</t>
        </is>
      </c>
      <c r="E5" s="6" t="inlineStr">
        <is>
          <t>20 credits (example; verify model)</t>
        </is>
      </c>
      <c r="F5" s="6" t="inlineStr">
        <is>
          <t>credits/task</t>
        </is>
      </c>
      <c r="G5" s="6" t="inlineStr">
        <is>
          <t>USD conversion unresolved</t>
        </is>
      </c>
      <c r="H5" s="6" t="inlineStr">
        <is>
          <t>Need current plan/top-up price per credit; credit consumption may vary by selected model.</t>
        </is>
      </c>
      <c r="I5" s="6" t="inlineStr">
        <is>
          <t>Task credit docs are not the same as cost in USD.</t>
        </is>
      </c>
      <c r="J5" s="7" t="inlineStr">
        <is>
          <t>https://help.meshy.ai/en/articles/16815622-how-many-credits-does-each-meshy-api-task-cost</t>
        </is>
      </c>
    </row>
    <row r="6" ht="45" customHeight="1">
      <c r="A6" s="8" t="inlineStr">
        <is>
          <t>Meshy</t>
        </is>
      </c>
      <c r="B6" s="8" t="inlineStr">
        <is>
          <t>Current Meshy API models</t>
        </is>
      </c>
      <c r="C6" s="8" t="inlineStr">
        <is>
          <t>Image-to-3D</t>
        </is>
      </c>
      <c r="D6" s="8" t="inlineStr">
        <is>
          <t>Texture 2K/4K</t>
        </is>
      </c>
      <c r="E6" s="8" t="inlineStr">
        <is>
          <t>30 credits (example; verify model)</t>
        </is>
      </c>
      <c r="F6" s="8" t="inlineStr">
        <is>
          <t>credits/task</t>
        </is>
      </c>
      <c r="G6" s="8" t="inlineStr">
        <is>
          <t>USD conversion unresolved</t>
        </is>
      </c>
      <c r="H6" s="8" t="inlineStr">
        <is>
          <t>Texture and model variant affect credit use; confirm credit bundle price.</t>
        </is>
      </c>
      <c r="I6" s="8" t="inlineStr">
        <is>
          <t>Include texture task only once if bundled.</t>
        </is>
      </c>
      <c r="J6" s="7" t="inlineStr">
        <is>
          <t>https://help.meshy.ai/en/articles/16815622-how-many-credits-does-each-meshy-api-task-cost</t>
        </is>
      </c>
    </row>
    <row r="7" ht="45" customHeight="1">
      <c r="A7" s="6" t="inlineStr">
        <is>
          <t>Meshy</t>
        </is>
      </c>
      <c r="B7" s="6" t="inlineStr">
        <is>
          <t>Current Meshy API models</t>
        </is>
      </c>
      <c r="C7" s="6" t="inlineStr">
        <is>
          <t>Image-to-3D</t>
        </is>
      </c>
      <c r="D7" s="6" t="inlineStr">
        <is>
          <t>Texture 8K</t>
        </is>
      </c>
      <c r="E7" s="6" t="inlineStr">
        <is>
          <t>35 credits (example; verify model)</t>
        </is>
      </c>
      <c r="F7" s="6" t="inlineStr">
        <is>
          <t>credits/task</t>
        </is>
      </c>
      <c r="G7" s="6" t="inlineStr">
        <is>
          <t>USD conversion unresolved</t>
        </is>
      </c>
      <c r="H7" s="6" t="inlineStr">
        <is>
          <t>Confirm exact model/texture tier.</t>
        </is>
      </c>
      <c r="I7" s="6" t="inlineStr">
        <is>
          <t>High texture output.</t>
        </is>
      </c>
      <c r="J7" s="7" t="inlineStr">
        <is>
          <t>https://help.meshy.ai/en/articles/16815622-how-many-credits-does-each-meshy-api-task-cost</t>
        </is>
      </c>
    </row>
    <row r="8" ht="45" customHeight="1">
      <c r="A8" s="8" t="inlineStr">
        <is>
          <t>Meshy</t>
        </is>
      </c>
      <c r="B8" s="8" t="inlineStr">
        <is>
          <t>Meshy API</t>
        </is>
      </c>
      <c r="C8" s="8" t="inlineStr">
        <is>
          <t>Image-to-image</t>
        </is>
      </c>
      <c r="D8" s="8" t="inlineStr">
        <is>
          <t>Nano Banana 2</t>
        </is>
      </c>
      <c r="E8" s="8" t="inlineStr">
        <is>
          <t>6 credits</t>
        </is>
      </c>
      <c r="F8" s="8" t="inlineStr">
        <is>
          <t>credits/image</t>
        </is>
      </c>
      <c r="G8" s="8" t="inlineStr">
        <is>
          <t>USD conversion unresolved</t>
        </is>
      </c>
      <c r="H8" s="8" t="inlineStr">
        <is>
          <t>Optional image refinement stage.</t>
        </is>
      </c>
      <c r="I8" s="8" t="inlineStr">
        <is>
          <t>Could be extra stage before 3D generation.</t>
        </is>
      </c>
      <c r="J8" s="7" t="inlineStr">
        <is>
          <t>https://help.meshy.ai/en/articles/16815622/how-many-credits-does-each-meshy-api-task-cost</t>
        </is>
      </c>
    </row>
    <row r="9" ht="45" customHeight="1">
      <c r="A9" s="6" t="inlineStr">
        <is>
          <t>Tripo</t>
        </is>
      </c>
      <c r="B9" s="6" t="inlineStr">
        <is>
          <t>Tripo API</t>
        </is>
      </c>
      <c r="C9" s="6" t="inlineStr">
        <is>
          <t>Text-to-3D</t>
        </is>
      </c>
      <c r="D9" s="6" t="inlineStr">
        <is>
          <t>Standard task</t>
        </is>
      </c>
      <c r="E9" s="6" t="inlineStr">
        <is>
          <t>10–20 credits</t>
        </is>
      </c>
      <c r="F9" s="6" t="inlineStr">
        <is>
          <t>credits/task</t>
        </is>
      </c>
      <c r="G9" s="6" t="inlineStr">
        <is>
          <t>$0.10–$0.20 at $0.01/credit</t>
        </is>
      </c>
      <c r="H9" s="6" t="inlineStr">
        <is>
          <t>Exact endpoint/model/parameters affect task cost.</t>
        </is>
      </c>
      <c r="I9" s="6" t="inlineStr">
        <is>
          <t>API page says 1 credit=$0.01.</t>
        </is>
      </c>
      <c r="J9" s="7" t="inlineStr">
        <is>
          <t>https://developers.tripo3d.ai/en</t>
        </is>
      </c>
    </row>
    <row r="10" ht="45" customHeight="1">
      <c r="A10" s="8" t="inlineStr">
        <is>
          <t>Tripo</t>
        </is>
      </c>
      <c r="B10" s="8" t="inlineStr">
        <is>
          <t>Tripo API</t>
        </is>
      </c>
      <c r="C10" s="8" t="inlineStr">
        <is>
          <t>Image-to-3D</t>
        </is>
      </c>
      <c r="D10" s="8" t="inlineStr">
        <is>
          <t>Standard task</t>
        </is>
      </c>
      <c r="E10" s="8" t="inlineStr">
        <is>
          <t>20–30 credits</t>
        </is>
      </c>
      <c r="F10" s="8" t="inlineStr">
        <is>
          <t>credits/task</t>
        </is>
      </c>
      <c r="G10" s="8" t="inlineStr">
        <is>
          <t>$0.20–$0.30</t>
        </is>
      </c>
      <c r="H10" s="8" t="inlineStr">
        <is>
          <t>Depends on endpoint/model.</t>
        </is>
      </c>
      <c r="I10" s="8" t="inlineStr">
        <is>
          <t>Use actual operation in calculator.</t>
        </is>
      </c>
      <c r="J10" s="7" t="inlineStr">
        <is>
          <t>https://developers.tripo3d.ai/en</t>
        </is>
      </c>
    </row>
    <row r="11" ht="45" customHeight="1">
      <c r="A11" s="6" t="inlineStr">
        <is>
          <t>Tripo</t>
        </is>
      </c>
      <c r="B11" s="6" t="inlineStr">
        <is>
          <t>Tripo API</t>
        </is>
      </c>
      <c r="C11" s="6" t="inlineStr">
        <is>
          <t>Multiview-to-3D</t>
        </is>
      </c>
      <c r="D11" s="6" t="inlineStr">
        <is>
          <t>Standard task</t>
        </is>
      </c>
      <c r="E11" s="6" t="inlineStr">
        <is>
          <t>20–30 credits</t>
        </is>
      </c>
      <c r="F11" s="6" t="inlineStr">
        <is>
          <t>credits/task</t>
        </is>
      </c>
      <c r="G11" s="6" t="inlineStr">
        <is>
          <t>$0.20–$0.30</t>
        </is>
      </c>
      <c r="H11" s="6" t="inlineStr">
        <is>
          <t>Requires multiview input images.</t>
        </is>
      </c>
      <c r="I11" s="6" t="inlineStr">
        <is>
          <t>Potentially more suitable if multiple references available.</t>
        </is>
      </c>
      <c r="J11" s="7" t="inlineStr">
        <is>
          <t>https://developers.tripo3d.ai/en</t>
        </is>
      </c>
    </row>
    <row r="12" ht="45" customHeight="1">
      <c r="A12" s="8" t="inlineStr">
        <is>
          <t>Tripo</t>
        </is>
      </c>
      <c r="B12" s="8" t="inlineStr">
        <is>
          <t>Tripo API</t>
        </is>
      </c>
      <c r="C12" s="8" t="inlineStr">
        <is>
          <t>Texture</t>
        </is>
      </c>
      <c r="D12" s="8" t="inlineStr">
        <is>
          <t>Texture task</t>
        </is>
      </c>
      <c r="E12" s="8" t="inlineStr">
        <is>
          <t>10–30 credits</t>
        </is>
      </c>
      <c r="F12" s="8" t="inlineStr">
        <is>
          <t>credits/task</t>
        </is>
      </c>
      <c r="G12" s="8" t="inlineStr">
        <is>
          <t>$0.10–$0.30</t>
        </is>
      </c>
      <c r="H12" s="8" t="inlineStr">
        <is>
          <t>May be separate from base generation.</t>
        </is>
      </c>
      <c r="I12" s="8" t="inlineStr">
        <is>
          <t>Avoid double counting if texture included in workflow.</t>
        </is>
      </c>
      <c r="J12" s="7" t="inlineStr">
        <is>
          <t>https://developers.tripo3d.ai/en</t>
        </is>
      </c>
    </row>
    <row r="13" ht="45" customHeight="1">
      <c r="A13" s="6" t="inlineStr">
        <is>
          <t>Tripo</t>
        </is>
      </c>
      <c r="B13" s="6" t="inlineStr">
        <is>
          <t>Tripo API</t>
        </is>
      </c>
      <c r="C13" s="6" t="inlineStr">
        <is>
          <t>Format conversion</t>
        </is>
      </c>
      <c r="D13" s="6" t="inlineStr">
        <is>
          <t>Export conversion</t>
        </is>
      </c>
      <c r="E13" s="6" t="inlineStr">
        <is>
          <t>5–10 credits</t>
        </is>
      </c>
      <c r="F13" s="6" t="inlineStr">
        <is>
          <t>credits/task</t>
        </is>
      </c>
      <c r="G13" s="6" t="inlineStr">
        <is>
          <t>$0.05–$0.10</t>
        </is>
      </c>
      <c r="H13" s="6" t="inlineStr">
        <is>
          <t>Only if conversion endpoint is needed.</t>
        </is>
      </c>
      <c r="I13" s="6" t="inlineStr">
        <is>
          <t>Check direct supported formats first.</t>
        </is>
      </c>
      <c r="J13" s="7" t="inlineStr">
        <is>
          <t>https://developers.tripo3d.ai/en</t>
        </is>
      </c>
    </row>
    <row r="14" ht="45" customHeight="1">
      <c r="A14" s="8" t="inlineStr">
        <is>
          <t>Tripo</t>
        </is>
      </c>
      <c r="B14" s="8" t="inlineStr">
        <is>
          <t>Tripo API</t>
        </is>
      </c>
      <c r="C14" s="8" t="inlineStr">
        <is>
          <t>Retopology</t>
        </is>
      </c>
      <c r="D14" s="8" t="inlineStr">
        <is>
          <t>Post-process</t>
        </is>
      </c>
      <c r="E14" s="8" t="inlineStr">
        <is>
          <t>10–30 credits</t>
        </is>
      </c>
      <c r="F14" s="8" t="inlineStr">
        <is>
          <t>credits/task</t>
        </is>
      </c>
      <c r="G14" s="8" t="inlineStr">
        <is>
          <t>$0.10–$0.30</t>
        </is>
      </c>
      <c r="H14" s="8" t="inlineStr">
        <is>
          <t>Optional task.</t>
        </is>
      </c>
      <c r="I14" s="8" t="inlineStr">
        <is>
          <t>Include if output mesh needs optimization.</t>
        </is>
      </c>
      <c r="J14" s="7" t="inlineStr">
        <is>
          <t>https://developers.tripo3d.ai/en</t>
        </is>
      </c>
    </row>
    <row r="15" ht="45" customHeight="1">
      <c r="A15" s="6" t="inlineStr">
        <is>
          <t>Tripo</t>
        </is>
      </c>
      <c r="B15" s="6" t="inlineStr">
        <is>
          <t>Tripo API</t>
        </is>
      </c>
      <c r="C15" s="6" t="inlineStr">
        <is>
          <t>Image generation</t>
        </is>
      </c>
      <c r="D15" s="6" t="inlineStr">
        <is>
          <t>Concept image</t>
        </is>
      </c>
      <c r="E15" s="6" t="inlineStr">
        <is>
          <t>5–10 credits</t>
        </is>
      </c>
      <c r="F15" s="6" t="inlineStr">
        <is>
          <t>credits/image</t>
        </is>
      </c>
      <c r="G15" s="6" t="inlineStr">
        <is>
          <t>$0.05–$0.10</t>
        </is>
      </c>
      <c r="H15" s="6" t="inlineStr">
        <is>
          <t>May be extra stage before 3D generation.</t>
        </is>
      </c>
      <c r="I15" s="6" t="inlineStr">
        <is>
          <t>Two-stage workflows need both costs.</t>
        </is>
      </c>
      <c r="J15" s="7" t="inlineStr">
        <is>
          <t>https://developers.tripo3d.ai/en</t>
        </is>
      </c>
    </row>
    <row r="16" ht="45" customHeight="1">
      <c r="A16" s="8" t="inlineStr">
        <is>
          <t>Rodin / Hyper3D</t>
        </is>
      </c>
      <c r="B16" s="8" t="inlineStr">
        <is>
          <t>Rodin Gen-2.5</t>
        </is>
      </c>
      <c r="C16" s="8" t="inlineStr">
        <is>
          <t>Base generation</t>
        </is>
      </c>
      <c r="D16" s="8" t="inlineStr">
        <is>
          <t>Regular/base</t>
        </is>
      </c>
      <c r="E16" s="8" t="inlineStr">
        <is>
          <t>0.5 credits</t>
        </is>
      </c>
      <c r="F16" s="8" t="inlineStr">
        <is>
          <t>credits/task</t>
        </is>
      </c>
      <c r="G16" s="8" t="inlineStr">
        <is>
          <t>USD conversion unresolved</t>
        </is>
      </c>
      <c r="H16" s="8" t="inlineStr">
        <is>
          <t>Need effective API credit price and whether subscription credits apply.</t>
        </is>
      </c>
      <c r="I16" s="8" t="inlineStr">
        <is>
          <t>Do not assume 1 credit=$0.01; docs don't establish conversion.</t>
        </is>
      </c>
      <c r="J16" s="7" t="inlineStr">
        <is>
          <t>https://docs.hyper3d.ai/en/api-specification/rodin-gen2-5</t>
        </is>
      </c>
    </row>
    <row r="17" ht="45" customHeight="1">
      <c r="A17" s="6" t="inlineStr">
        <is>
          <t>Rodin / Hyper3D</t>
        </is>
      </c>
      <c r="B17" s="6" t="inlineStr">
        <is>
          <t>Rodin Gen-2.5</t>
        </is>
      </c>
      <c r="C17" s="6" t="inlineStr">
        <is>
          <t>Generation tier upgrade</t>
        </is>
      </c>
      <c r="D17" s="6" t="inlineStr">
        <is>
          <t>Extreme-High</t>
        </is>
      </c>
      <c r="E17" s="6" t="inlineStr">
        <is>
          <t>+0.5 credits</t>
        </is>
      </c>
      <c r="F17" s="6" t="inlineStr">
        <is>
          <t>extra credits</t>
        </is>
      </c>
      <c r="G17" s="6" t="inlineStr">
        <is>
          <t>USD conversion unresolved</t>
        </is>
      </c>
      <c r="H17" s="6" t="inlineStr">
        <is>
          <t>Additive to base; explicitly set tier.</t>
        </is>
      </c>
      <c r="I17" s="6" t="inlineStr">
        <is>
          <t>Quality tier impacts bill.</t>
        </is>
      </c>
      <c r="J17" s="7" t="inlineStr">
        <is>
          <t>https://docs.hyper3d.ai/en/api-specification/rodin-gen2-5</t>
        </is>
      </c>
    </row>
    <row r="18" ht="45" customHeight="1">
      <c r="A18" s="8" t="inlineStr">
        <is>
          <t>Rodin / Hyper3D</t>
        </is>
      </c>
      <c r="B18" s="8" t="inlineStr">
        <is>
          <t>Rodin Gen-2.5</t>
        </is>
      </c>
      <c r="C18" s="8" t="inlineStr">
        <is>
          <t>Texture mode</t>
        </is>
      </c>
      <c r="D18" s="8" t="inlineStr">
        <is>
          <t>Extreme-high</t>
        </is>
      </c>
      <c r="E18" s="8" t="inlineStr">
        <is>
          <t>+2.0 credits</t>
        </is>
      </c>
      <c r="F18" s="8" t="inlineStr">
        <is>
          <t>extra credits</t>
        </is>
      </c>
      <c r="G18" s="8" t="inlineStr">
        <is>
          <t>USD conversion unresolved</t>
        </is>
      </c>
      <c r="H18" s="8" t="inlineStr">
        <is>
          <t>Docs describe up to 12K textures; conversion to USD still needed.</t>
        </is>
      </c>
      <c r="I18" s="8" t="inlineStr">
        <is>
          <t>Texture mode can affect cost and latency.</t>
        </is>
      </c>
      <c r="J18" s="7" t="inlineStr">
        <is>
          <t>https://docs.hyper3d.ai/en/api-specification/rodin-gen2-5</t>
        </is>
      </c>
    </row>
    <row r="19" ht="45" customHeight="1">
      <c r="A19" s="6" t="inlineStr">
        <is>
          <t>Rodin / Hyper3D</t>
        </is>
      </c>
      <c r="B19" s="6" t="inlineStr">
        <is>
          <t>Texture API</t>
        </is>
      </c>
      <c r="C19" s="6" t="inlineStr">
        <is>
          <t>Texture generation</t>
        </is>
      </c>
      <c r="D19" s="6" t="inlineStr">
        <is>
          <t>Base</t>
        </is>
      </c>
      <c r="E19" s="6" t="inlineStr">
        <is>
          <t>0.5 credits</t>
        </is>
      </c>
      <c r="F19" s="6" t="inlineStr">
        <is>
          <t>credits/task</t>
        </is>
      </c>
      <c r="G19" s="6" t="inlineStr">
        <is>
          <t>USD conversion unresolved</t>
        </is>
      </c>
      <c r="H19" s="6" t="inlineStr">
        <is>
          <t>Separate texture endpoint may add charge.</t>
        </is>
      </c>
      <c r="I19" s="6" t="inlineStr">
        <is>
          <t>Check whether generation task already includes texture.</t>
        </is>
      </c>
      <c r="J19" s="7" t="inlineStr">
        <is>
          <t>https://docs.hyper3d.ai/en/api-specification/generate-texture</t>
        </is>
      </c>
    </row>
    <row r="20" ht="45" customHeight="1">
      <c r="A20" s="8" t="inlineStr">
        <is>
          <t>Tencent Hunyuan 3D</t>
        </is>
      </c>
      <c r="B20" s="8" t="inlineStr">
        <is>
          <t>Cloud/hosted API route</t>
        </is>
      </c>
      <c r="C20" s="8" t="inlineStr">
        <is>
          <t>3D generation</t>
        </is>
      </c>
      <c r="D20" s="8" t="inlineStr">
        <is>
          <t>Endpoint-dependent</t>
        </is>
      </c>
      <c r="E20" s="8" t="inlineStr"/>
      <c r="F20" s="8" t="inlineStr">
        <is>
          <t>unknown</t>
        </is>
      </c>
      <c r="G20" s="8" t="inlineStr">
        <is>
          <t>Not verified</t>
        </is>
      </c>
      <c r="H20" s="8" t="inlineStr">
        <is>
          <t>No single reliable universal per-model price captured; route, region and endpoint matter.</t>
        </is>
      </c>
      <c r="I20" s="8" t="inlineStr">
        <is>
          <t>Keep out of priced cards until endpoint is selected.</t>
        </is>
      </c>
      <c r="J20" s="7" t="inlineStr">
        <is>
          <t>https://cloud.tencent.com/</t>
        </is>
      </c>
    </row>
  </sheetData>
  <autoFilter ref="A4:J20"/>
  <mergeCells count="2">
    <mergeCell ref="A1:J1"/>
    <mergeCell ref="A2:J2"/>
  </mergeCells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  <hyperlink xmlns:r="http://schemas.openxmlformats.org/officeDocument/2006/relationships" ref="J10" r:id="rId6"/>
    <hyperlink xmlns:r="http://schemas.openxmlformats.org/officeDocument/2006/relationships" ref="J11" r:id="rId7"/>
    <hyperlink xmlns:r="http://schemas.openxmlformats.org/officeDocument/2006/relationships" ref="J12" r:id="rId8"/>
    <hyperlink xmlns:r="http://schemas.openxmlformats.org/officeDocument/2006/relationships" ref="J13" r:id="rId9"/>
    <hyperlink xmlns:r="http://schemas.openxmlformats.org/officeDocument/2006/relationships" ref="J14" r:id="rId10"/>
    <hyperlink xmlns:r="http://schemas.openxmlformats.org/officeDocument/2006/relationships" ref="J15" r:id="rId11"/>
    <hyperlink xmlns:r="http://schemas.openxmlformats.org/officeDocument/2006/relationships" ref="J16" r:id="rId12"/>
    <hyperlink xmlns:r="http://schemas.openxmlformats.org/officeDocument/2006/relationships" ref="J17" r:id="rId13"/>
    <hyperlink xmlns:r="http://schemas.openxmlformats.org/officeDocument/2006/relationships" ref="J18" r:id="rId14"/>
    <hyperlink xmlns:r="http://schemas.openxmlformats.org/officeDocument/2006/relationships" ref="J19" r:id="rId15"/>
    <hyperlink xmlns:r="http://schemas.openxmlformats.org/officeDocument/2006/relationships" ref="J20" r:id="rId16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17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23" customWidth="1" min="3" max="3"/>
    <col width="26" customWidth="1" min="4" max="4"/>
    <col width="57" customWidth="1" min="5" max="5"/>
    <col width="21" customWidth="1" min="6" max="6"/>
    <col width="50" customWidth="1" min="7" max="7"/>
    <col width="48" customWidth="1" min="8" max="8"/>
  </cols>
  <sheetData>
    <row r="1" ht="30" customHeight="1">
      <c r="A1" s="1" t="inlineStr">
        <is>
          <t>Infrastructure Pricing</t>
        </is>
      </c>
    </row>
    <row r="2" ht="34" customHeight="1">
      <c r="A2" s="2" t="inlineStr">
        <is>
          <t>Infrastructure list prices and overages where found. Monthly totals depend on usage and architecture.</t>
        </is>
      </c>
    </row>
    <row r="3"/>
    <row r="4" ht="40" customHeight="1">
      <c r="A4" s="5" t="inlineStr">
        <is>
          <t>Category</t>
        </is>
      </c>
      <c r="B4" s="5" t="inlineStr">
        <is>
          <t>Provider</t>
        </is>
      </c>
      <c r="C4" s="5" t="inlineStr">
        <is>
          <t>Plan / unit</t>
        </is>
      </c>
      <c r="D4" s="5" t="inlineStr">
        <is>
          <t>Published price</t>
        </is>
      </c>
      <c r="E4" s="5" t="inlineStr">
        <is>
          <t>Included usage / overage</t>
        </is>
      </c>
      <c r="F4" s="5" t="inlineStr">
        <is>
          <t>Status</t>
        </is>
      </c>
      <c r="G4" s="5" t="inlineStr">
        <is>
          <t>Official source URL</t>
        </is>
      </c>
      <c r="H4" s="5" t="inlineStr">
        <is>
          <t>Implementation note</t>
        </is>
      </c>
    </row>
    <row r="5" ht="45" customHeight="1">
      <c r="A5" s="6" t="inlineStr">
        <is>
          <t>Frontend / deployment</t>
        </is>
      </c>
      <c r="B5" s="6" t="inlineStr">
        <is>
          <t>Vercel</t>
        </is>
      </c>
      <c r="C5" s="6" t="inlineStr">
        <is>
          <t>Pro plan</t>
        </is>
      </c>
      <c r="D5" s="6" t="inlineStr">
        <is>
          <t>$20/month</t>
        </is>
      </c>
      <c r="E5" s="6" t="inlineStr">
        <is>
          <t>$20 included usage credit; additional usage may be billed; seats/usage details to verify.</t>
        </is>
      </c>
      <c r="F5" s="6" t="inlineStr">
        <is>
          <t>Published</t>
        </is>
      </c>
      <c r="G5" s="7" t="inlineStr">
        <is>
          <t>https://vercel.com/pricing</t>
        </is>
      </c>
      <c r="H5" s="6" t="inlineStr">
        <is>
          <t>Next.js frontend; long-running 3D jobs should run in background workers.</t>
        </is>
      </c>
    </row>
    <row r="6" ht="45" customHeight="1">
      <c r="A6" s="8" t="inlineStr">
        <is>
          <t>Database / auth</t>
        </is>
      </c>
      <c r="B6" s="8" t="inlineStr">
        <is>
          <t>Supabase</t>
        </is>
      </c>
      <c r="C6" s="8" t="inlineStr">
        <is>
          <t>Pro base</t>
        </is>
      </c>
      <c r="D6" s="8" t="inlineStr">
        <is>
          <t>From $25/month</t>
        </is>
      </c>
      <c r="E6" s="8" t="inlineStr">
        <is>
          <t>8GB database disk/project, 250GB egress, 100GB file storage in surfaced pricing; overages apply.</t>
        </is>
      </c>
      <c r="F6" s="8" t="inlineStr">
        <is>
          <t>Published</t>
        </is>
      </c>
      <c r="G6" s="7" t="inlineStr">
        <is>
          <t>https://supabase.com/pricing</t>
        </is>
      </c>
      <c r="H6" s="8" t="inlineStr">
        <is>
          <t>Postgres/auth/pgvector; compute/add-ons and actual usage affect total.</t>
        </is>
      </c>
    </row>
    <row r="7" ht="45" customHeight="1">
      <c r="A7" s="6" t="inlineStr">
        <is>
          <t>Database</t>
        </is>
      </c>
      <c r="B7" s="6" t="inlineStr">
        <is>
          <t>Supabase</t>
        </is>
      </c>
      <c r="C7" s="6" t="inlineStr">
        <is>
          <t>Extra DB disk</t>
        </is>
      </c>
      <c r="D7" s="6" t="inlineStr">
        <is>
          <t>$0.125/GB</t>
        </is>
      </c>
      <c r="E7" s="6" t="inlineStr">
        <is>
          <t>Pro included disk shown as 8GB/project; confirm current billing table.</t>
        </is>
      </c>
      <c r="F7" s="6" t="inlineStr">
        <is>
          <t>Published</t>
        </is>
      </c>
      <c r="G7" s="7" t="inlineStr">
        <is>
          <t>https://supabase.com/docs/guides/platform/billing-on-supabase</t>
        </is>
      </c>
      <c r="H7" s="6" t="inlineStr">
        <is>
          <t>Separate DB storage from object storage.</t>
        </is>
      </c>
    </row>
    <row r="8" ht="45" customHeight="1">
      <c r="A8" s="8" t="inlineStr">
        <is>
          <t>File storage</t>
        </is>
      </c>
      <c r="B8" s="8" t="inlineStr">
        <is>
          <t>Supabase Storage</t>
        </is>
      </c>
      <c r="C8" s="8" t="inlineStr">
        <is>
          <t>Overage</t>
        </is>
      </c>
      <c r="D8" s="8" t="inlineStr">
        <is>
          <t>About $0.0213/GB/month</t>
        </is>
      </c>
      <c r="E8" s="8" t="inlineStr">
        <is>
          <t>100GB included on Pro in surfaced pricing; transformations/egress may add cost.</t>
        </is>
      </c>
      <c r="F8" s="8" t="inlineStr">
        <is>
          <t>Published</t>
        </is>
      </c>
      <c r="G8" s="7" t="inlineStr">
        <is>
          <t>https://supabase.com/pricing</t>
        </is>
      </c>
      <c r="H8" s="8" t="inlineStr">
        <is>
          <t>Simplest start if assets remain modest.</t>
        </is>
      </c>
    </row>
    <row r="9" ht="45" customHeight="1">
      <c r="A9" s="6" t="inlineStr">
        <is>
          <t>Object storage</t>
        </is>
      </c>
      <c r="B9" s="6" t="inlineStr">
        <is>
          <t>Cloudflare R2 Standard</t>
        </is>
      </c>
      <c r="C9" s="6" t="inlineStr">
        <is>
          <t>Storage</t>
        </is>
      </c>
      <c r="D9" s="6" t="inlineStr">
        <is>
          <t>$0.015/GB-month</t>
        </is>
      </c>
      <c r="E9" s="6" t="inlineStr">
        <is>
          <t>10GB free; Class A $4.50/million; Class B $0.36/million; 1M/10M requests free; no egress fees.</t>
        </is>
      </c>
      <c r="F9" s="6" t="inlineStr">
        <is>
          <t>Published</t>
        </is>
      </c>
      <c r="G9" s="7" t="inlineStr">
        <is>
          <t>https://developers.cloudflare.com/r2/pricing/</t>
        </is>
      </c>
      <c r="H9" s="6" t="inlineStr">
        <is>
          <t>Suitable for renders, GLB/GLTF, textures, PDFs and exports.</t>
        </is>
      </c>
    </row>
    <row r="10" ht="45" customHeight="1">
      <c r="A10" s="8" t="inlineStr">
        <is>
          <t>Object storage</t>
        </is>
      </c>
      <c r="B10" s="8" t="inlineStr">
        <is>
          <t>Cloudflare R2 Infrequent Access</t>
        </is>
      </c>
      <c r="C10" s="8" t="inlineStr">
        <is>
          <t>Storage</t>
        </is>
      </c>
      <c r="D10" s="8" t="inlineStr">
        <is>
          <t>$0.01/GB-month</t>
        </is>
      </c>
      <c r="E10" s="8" t="inlineStr">
        <is>
          <t>Retrieval $0.01/GB; Class A $9/million; Class B $0.90/million; no internet egress fees.</t>
        </is>
      </c>
      <c r="F10" s="8" t="inlineStr">
        <is>
          <t>Published</t>
        </is>
      </c>
      <c r="G10" s="7" t="inlineStr">
        <is>
          <t>https://developers.cloudflare.com/r2/pricing/</t>
        </is>
      </c>
      <c r="H10" s="8" t="inlineStr">
        <is>
          <t>Cold assets only; retrieval/request fees matter.</t>
        </is>
      </c>
    </row>
    <row r="11" ht="45" customHeight="1">
      <c r="A11" s="6" t="inlineStr">
        <is>
          <t>Email</t>
        </is>
      </c>
      <c r="B11" s="6" t="inlineStr">
        <is>
          <t>Resend (candidate)</t>
        </is>
      </c>
      <c r="C11" s="6" t="inlineStr">
        <is>
          <t>Transactional email</t>
        </is>
      </c>
      <c r="D11" s="6" t="inlineStr">
        <is>
          <t>Not priced in this workbook</t>
        </is>
      </c>
      <c r="E11" s="6" t="inlineStr">
        <is>
          <t>Select plan, free tier, per-email cost, retention and deliverability.</t>
        </is>
      </c>
      <c r="F11" s="6" t="inlineStr">
        <is>
          <t>Needs selection</t>
        </is>
      </c>
      <c r="G11" s="7" t="inlineStr">
        <is>
          <t>https://resend.com/pricing</t>
        </is>
      </c>
      <c r="H11" s="6" t="inlineStr">
        <is>
          <t>Notifications/invites.</t>
        </is>
      </c>
    </row>
    <row r="12" ht="45" customHeight="1">
      <c r="A12" s="8" t="inlineStr">
        <is>
          <t>Monitoring</t>
        </is>
      </c>
      <c r="B12" s="8" t="inlineStr">
        <is>
          <t>Sentry (candidate)</t>
        </is>
      </c>
      <c r="C12" s="8" t="inlineStr">
        <is>
          <t>Errors/logs</t>
        </is>
      </c>
      <c r="D12" s="8" t="inlineStr">
        <is>
          <t>Not priced in this workbook</t>
        </is>
      </c>
      <c r="E12" s="8" t="inlineStr">
        <is>
          <t>Select event volume, retention, seats and alerting.</t>
        </is>
      </c>
      <c r="F12" s="8" t="inlineStr">
        <is>
          <t>Needs selection</t>
        </is>
      </c>
      <c r="G12" s="7" t="inlineStr">
        <is>
          <t>https://sentry.io/pricing</t>
        </is>
      </c>
      <c r="H12" s="8" t="inlineStr">
        <is>
          <t>Instrument API failures and job duration.</t>
        </is>
      </c>
    </row>
    <row r="13" ht="45" customHeight="1">
      <c r="A13" s="6" t="inlineStr">
        <is>
          <t>Background worker</t>
        </is>
      </c>
      <c r="B13" s="6" t="inlineStr">
        <is>
          <t>Render (candidate)</t>
        </is>
      </c>
      <c r="C13" s="6" t="inlineStr">
        <is>
          <t>Worker/queue</t>
        </is>
      </c>
      <c r="D13" s="6" t="inlineStr">
        <is>
          <t>Not priced in this workbook</t>
        </is>
      </c>
      <c r="E13" s="6" t="inlineStr">
        <is>
          <t>Size CPU/memory, runtime, concurrency and retries; GPU only if self-hosting models.</t>
        </is>
      </c>
      <c r="F13" s="6" t="inlineStr">
        <is>
          <t>Needs sizing</t>
        </is>
      </c>
      <c r="G13" s="7" t="inlineStr">
        <is>
          <t>https://render.com/pricing</t>
        </is>
      </c>
      <c r="H13" s="6" t="inlineStr">
        <is>
          <t>Use worker/queue for long-running orchestration.</t>
        </is>
      </c>
    </row>
    <row r="14" ht="45" customHeight="1">
      <c r="A14" s="8" t="inlineStr">
        <is>
          <t>Domain / DNS</t>
        </is>
      </c>
      <c r="B14" s="8" t="inlineStr">
        <is>
          <t>Cloudflare Registrar (candidate)</t>
        </is>
      </c>
      <c r="C14" s="8" t="inlineStr">
        <is>
          <t>Annual domain</t>
        </is>
      </c>
      <c r="D14" s="8" t="inlineStr">
        <is>
          <t>TLD-specific</t>
        </is>
      </c>
      <c r="E14" s="8" t="inlineStr">
        <is>
          <t>Annual price depends on domain/TLD.</t>
        </is>
      </c>
      <c r="F14" s="8" t="inlineStr">
        <is>
          <t>Needs selection</t>
        </is>
      </c>
      <c r="G14" s="7" t="inlineStr">
        <is>
          <t>https://www.cloudflare.com/products/registrar/</t>
        </is>
      </c>
      <c r="H14" s="8" t="inlineStr">
        <is>
          <t>Convert annual fee to monthly equivalent.</t>
        </is>
      </c>
    </row>
    <row r="15" ht="45" customHeight="1">
      <c r="A15" s="6" t="inlineStr">
        <is>
          <t>Tax / FX</t>
        </is>
      </c>
      <c r="B15" s="6" t="inlineStr">
        <is>
          <t>Finance / bank</t>
        </is>
      </c>
      <c r="C15" s="6" t="inlineStr">
        <is>
          <t>GST and FX spread</t>
        </is>
      </c>
      <c r="D15" s="6" t="inlineStr">
        <is>
          <t>User-specific</t>
        </is>
      </c>
      <c r="E15" s="6" t="inlineStr">
        <is>
          <t>Provider prices usually exclude taxes and bank conversion spread.</t>
        </is>
      </c>
      <c r="F15" s="6" t="inlineStr">
        <is>
          <t>User-specific</t>
        </is>
      </c>
      <c r="G15" s="6" t="inlineStr"/>
      <c r="H15" s="6" t="inlineStr">
        <is>
          <t>Keep raw USD provider cost and customer INR price separate.</t>
        </is>
      </c>
    </row>
  </sheetData>
  <autoFilter ref="A4:H15"/>
  <mergeCells count="2">
    <mergeCell ref="A2:H2"/>
    <mergeCell ref="A1:H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1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25" customWidth="1" min="4" max="4"/>
    <col width="23" customWidth="1" min="5" max="5"/>
    <col width="56" customWidth="1" min="6" max="6"/>
    <col width="20" customWidth="1" min="7" max="7"/>
    <col width="50" customWidth="1" min="8" max="8"/>
  </cols>
  <sheetData>
    <row r="1" ht="30" customHeight="1">
      <c r="A1" s="1" t="inlineStr">
        <is>
          <t>LLM &amp; Embeddings</t>
        </is>
      </c>
    </row>
    <row r="2" ht="34" customHeight="1">
      <c r="A2" s="2" t="inlineStr">
        <is>
          <t>Token prices are per 1M tokens unless noted. Log actual input/output token usage per workflow for accurate unit economics.</t>
        </is>
      </c>
    </row>
    <row r="3"/>
    <row r="4" ht="40" customHeight="1">
      <c r="A4" s="5" t="inlineStr">
        <is>
          <t>Provider</t>
        </is>
      </c>
      <c r="B4" s="5" t="inlineStr">
        <is>
          <t>Model</t>
        </is>
      </c>
      <c r="C4" s="5" t="inlineStr">
        <is>
          <t>Input USD / 1M</t>
        </is>
      </c>
      <c r="D4" s="5" t="inlineStr">
        <is>
          <t>Cached input USD / 1M</t>
        </is>
      </c>
      <c r="E4" s="5" t="inlineStr">
        <is>
          <t>Output USD / 1M</t>
        </is>
      </c>
      <c r="F4" s="5" t="inlineStr">
        <is>
          <t>Caveat</t>
        </is>
      </c>
      <c r="G4" s="5" t="inlineStr">
        <is>
          <t>Status</t>
        </is>
      </c>
      <c r="H4" s="5" t="inlineStr">
        <is>
          <t>Official source URL</t>
        </is>
      </c>
    </row>
    <row r="5" ht="45" customHeight="1">
      <c r="A5" s="6" t="inlineStr">
        <is>
          <t>OpenAI</t>
        </is>
      </c>
      <c r="B5" s="6" t="inlineStr">
        <is>
          <t>gpt-6-luna (standard)</t>
        </is>
      </c>
      <c r="C5" s="6" t="inlineStr">
        <is>
          <t>0.05</t>
        </is>
      </c>
      <c r="D5" s="6" t="inlineStr">
        <is>
          <t>0.005</t>
        </is>
      </c>
      <c r="E5" s="6" t="inlineStr">
        <is>
          <t>0.25</t>
        </is>
      </c>
      <c r="F5" s="6" t="inlineStr">
        <is>
          <t>Short-context rates; long-context and service tier differ.</t>
        </is>
      </c>
      <c r="G5" s="6" t="inlineStr">
        <is>
          <t>Published</t>
        </is>
      </c>
      <c r="H5" s="7" t="inlineStr">
        <is>
          <t>https://developers.openai.com/api/docs/pricing</t>
        </is>
      </c>
    </row>
    <row r="6" ht="45" customHeight="1">
      <c r="A6" s="8" t="inlineStr">
        <is>
          <t>OpenAI</t>
        </is>
      </c>
      <c r="B6" s="8" t="inlineStr">
        <is>
          <t>gpt-6-sol (standard)</t>
        </is>
      </c>
      <c r="C6" s="8" t="inlineStr">
        <is>
          <t>1.00</t>
        </is>
      </c>
      <c r="D6" s="8" t="inlineStr">
        <is>
          <t>0.10</t>
        </is>
      </c>
      <c r="E6" s="8" t="inlineStr">
        <is>
          <t>5.00</t>
        </is>
      </c>
      <c r="F6" s="8" t="inlineStr">
        <is>
          <t>Short-context rates; batch/flex/fast tiers differ.</t>
        </is>
      </c>
      <c r="G6" s="8" t="inlineStr">
        <is>
          <t>Published</t>
        </is>
      </c>
      <c r="H6" s="7" t="inlineStr">
        <is>
          <t>https://developers.openai.com/api/docs/pricing</t>
        </is>
      </c>
    </row>
    <row r="7" ht="45" customHeight="1">
      <c r="A7" s="6" t="inlineStr">
        <is>
          <t>OpenAI</t>
        </is>
      </c>
      <c r="B7" s="6" t="inlineStr">
        <is>
          <t>gpt-6-astra (standard)</t>
        </is>
      </c>
      <c r="C7" s="6" t="inlineStr">
        <is>
          <t>5.00</t>
        </is>
      </c>
      <c r="D7" s="6" t="inlineStr">
        <is>
          <t>0.50</t>
        </is>
      </c>
      <c r="E7" s="6" t="inlineStr">
        <is>
          <t>25.00</t>
        </is>
      </c>
      <c r="F7" s="6" t="inlineStr">
        <is>
          <t>Short-context rates; batch/flex/fast tiers differ.</t>
        </is>
      </c>
      <c r="G7" s="6" t="inlineStr">
        <is>
          <t>Published</t>
        </is>
      </c>
      <c r="H7" s="7" t="inlineStr">
        <is>
          <t>https://developers.openai.com/api/docs/pricing</t>
        </is>
      </c>
    </row>
    <row r="8" ht="45" customHeight="1">
      <c r="A8" s="8" t="inlineStr">
        <is>
          <t>OpenAI</t>
        </is>
      </c>
      <c r="B8" s="8" t="inlineStr">
        <is>
          <t>text-embedding-3-small</t>
        </is>
      </c>
      <c r="C8" s="8" t="inlineStr">
        <is>
          <t>0.02</t>
        </is>
      </c>
      <c r="D8" s="8" t="inlineStr"/>
      <c r="E8" s="8" t="inlineStr"/>
      <c r="F8" s="8" t="inlineStr">
        <is>
          <t>Per 1M input tokens as listed; check batch rate if used.</t>
        </is>
      </c>
      <c r="G8" s="8" t="inlineStr">
        <is>
          <t>Published</t>
        </is>
      </c>
      <c r="H8" s="7" t="inlineStr">
        <is>
          <t>https://developers.openai.com/api/docs/models/text-embedding-3-small</t>
        </is>
      </c>
    </row>
    <row r="9" ht="45" customHeight="1">
      <c r="A9" s="6" t="inlineStr">
        <is>
          <t>OpenAI</t>
        </is>
      </c>
      <c r="B9" s="6" t="inlineStr">
        <is>
          <t>text-embedding-3-large</t>
        </is>
      </c>
      <c r="C9" s="6" t="inlineStr">
        <is>
          <t>0.13</t>
        </is>
      </c>
      <c r="D9" s="6" t="inlineStr"/>
      <c r="E9" s="6" t="inlineStr"/>
      <c r="F9" s="6" t="inlineStr">
        <is>
          <t>Per 1M input tokens as listed; check batch rate if used.</t>
        </is>
      </c>
      <c r="G9" s="6" t="inlineStr">
        <is>
          <t>Published</t>
        </is>
      </c>
      <c r="H9" s="7" t="inlineStr">
        <is>
          <t>https://developers.openai.com/api/docs/models/text-embedding-3-large</t>
        </is>
      </c>
    </row>
    <row r="10" ht="45" customHeight="1">
      <c r="A10" s="8" t="inlineStr">
        <is>
          <t>Google</t>
        </is>
      </c>
      <c r="B10" s="8" t="inlineStr">
        <is>
          <t>gemini-3.1-flash-lite</t>
        </is>
      </c>
      <c r="C10" s="8" t="inlineStr">
        <is>
          <t>0.25</t>
        </is>
      </c>
      <c r="D10" s="8" t="inlineStr"/>
      <c r="E10" s="8" t="inlineStr">
        <is>
          <t>1.50</t>
        </is>
      </c>
      <c r="F10" s="8" t="inlineStr">
        <is>
          <t>Input text/image/video $0.25/M; audio differs; output $1.50/M in surfaced pricing.</t>
        </is>
      </c>
      <c r="G10" s="8" t="inlineStr">
        <is>
          <t>Published</t>
        </is>
      </c>
      <c r="H10" s="7" t="inlineStr">
        <is>
          <t>https://ai.google.dev/gemini-api/docs/pricing</t>
        </is>
      </c>
    </row>
    <row r="11" ht="45" customHeight="1">
      <c r="A11" s="6" t="inlineStr">
        <is>
          <t>Google</t>
        </is>
      </c>
      <c r="B11" s="6" t="inlineStr">
        <is>
          <t>gemini-3.1-pro-preview (&lt;200K)</t>
        </is>
      </c>
      <c r="C11" s="6" t="inlineStr">
        <is>
          <t>2.00</t>
        </is>
      </c>
      <c r="D11" s="6" t="inlineStr"/>
      <c r="E11" s="6" t="inlineStr">
        <is>
          <t>12.00</t>
        </is>
      </c>
      <c r="F11" s="6" t="inlineStr">
        <is>
          <t>Higher context tier costs more; preview status must be checked.</t>
        </is>
      </c>
      <c r="G11" s="6" t="inlineStr">
        <is>
          <t>Published</t>
        </is>
      </c>
      <c r="H11" s="7" t="inlineStr">
        <is>
          <t>https://ai.google.dev/gemini-api/docs/gemini-3</t>
        </is>
      </c>
    </row>
    <row r="12" ht="45" customHeight="1">
      <c r="A12" s="8" t="inlineStr">
        <is>
          <t>Google</t>
        </is>
      </c>
      <c r="B12" s="8" t="inlineStr">
        <is>
          <t>gemini-3-flash-preview</t>
        </is>
      </c>
      <c r="C12" s="8" t="inlineStr">
        <is>
          <t>0.50</t>
        </is>
      </c>
      <c r="D12" s="8" t="inlineStr"/>
      <c r="E12" s="8" t="inlineStr">
        <is>
          <t>3.00</t>
        </is>
      </c>
      <c r="F12" s="8" t="inlineStr">
        <is>
          <t>Check current availability/model status before implementation.</t>
        </is>
      </c>
      <c r="G12" s="8" t="inlineStr">
        <is>
          <t>Published</t>
        </is>
      </c>
      <c r="H12" s="7" t="inlineStr">
        <is>
          <t>https://ai.google.dev/gemini-api/docs/gemini-3</t>
        </is>
      </c>
    </row>
  </sheetData>
  <autoFilter ref="A4:H12"/>
  <mergeCells count="2">
    <mergeCell ref="A2:H2"/>
    <mergeCell ref="A1:H1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9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21" customWidth="1" min="2" max="2"/>
    <col width="23" customWidth="1" min="3" max="3"/>
    <col width="72" customWidth="1" min="4" max="4"/>
  </cols>
  <sheetData>
    <row r="1" ht="30" customHeight="1">
      <c r="A1" s="1" t="inlineStr">
        <is>
          <t>Monthly Calculator</t>
        </is>
      </c>
    </row>
    <row r="2" ht="34" customHeight="1">
      <c r="A2" s="2" t="inlineStr">
        <is>
          <t>Edit yellow input cells. Formulas estimate a single image API + one 3D workflow; treat placeholders as planning assumptions, not quotes.</t>
        </is>
      </c>
    </row>
    <row r="3"/>
    <row r="4" ht="40" customHeight="1">
      <c r="A4" s="5" t="inlineStr">
        <is>
          <t>Input / output</t>
        </is>
      </c>
      <c r="B4" s="5" t="inlineStr">
        <is>
          <t>Value</t>
        </is>
      </c>
      <c r="C4" s="5" t="inlineStr">
        <is>
          <t>Unit</t>
        </is>
      </c>
      <c r="D4" s="5" t="inlineStr">
        <is>
          <t>Notes</t>
        </is>
      </c>
    </row>
    <row r="5" ht="45" customHeight="1">
      <c r="A5" s="6" t="inlineStr">
        <is>
          <t>Images per month</t>
        </is>
      </c>
      <c r="B5" s="9" t="n">
        <v>1000</v>
      </c>
      <c r="C5" s="6" t="inlineStr">
        <is>
          <t>images</t>
        </is>
      </c>
      <c r="D5" s="6" t="inlineStr">
        <is>
          <t>Editable customer workload</t>
        </is>
      </c>
    </row>
    <row r="6" ht="45" customHeight="1">
      <c r="A6" s="8" t="inlineStr">
        <is>
          <t>Image unit price</t>
        </is>
      </c>
      <c r="B6" s="9" t="n">
        <v>0.067</v>
      </c>
      <c r="C6" s="8" t="inlineStr">
        <is>
          <t>USD/image</t>
        </is>
      </c>
      <c r="D6" s="8" t="inlineStr">
        <is>
          <t>Default example Nano Banana 2 1K; change to selected model/tier</t>
        </is>
      </c>
    </row>
    <row r="7" ht="45" customHeight="1">
      <c r="A7" s="6" t="inlineStr">
        <is>
          <t>Image retries / extra calls</t>
        </is>
      </c>
      <c r="B7" s="9" t="n">
        <v>0.2</v>
      </c>
      <c r="C7" s="6" t="inlineStr">
        <is>
          <t>fraction</t>
        </is>
      </c>
      <c r="D7" s="6" t="inlineStr">
        <is>
          <t>0.20 = 20% extra calls</t>
        </is>
      </c>
    </row>
    <row r="8" ht="45" customHeight="1">
      <c r="A8" s="8" t="inlineStr">
        <is>
          <t>3D models per month</t>
        </is>
      </c>
      <c r="B8" s="9" t="n">
        <v>200</v>
      </c>
      <c r="C8" s="8" t="inlineStr">
        <is>
          <t>models</t>
        </is>
      </c>
      <c r="D8" s="8" t="inlineStr">
        <is>
          <t>Editable customer workload</t>
        </is>
      </c>
    </row>
    <row r="9" ht="45" customHeight="1">
      <c r="A9" s="6" t="inlineStr">
        <is>
          <t>3D base cost per model</t>
        </is>
      </c>
      <c r="B9" s="9" t="n">
        <v>0.2</v>
      </c>
      <c r="C9" s="6" t="inlineStr">
        <is>
          <t>USD/model</t>
        </is>
      </c>
      <c r="D9" s="6" t="inlineStr">
        <is>
          <t>Example Tripo image-to-3D lower-end rate</t>
        </is>
      </c>
    </row>
    <row r="10" ht="45" customHeight="1">
      <c r="A10" s="8" t="inlineStr">
        <is>
          <t>Texture/post-process cost per model</t>
        </is>
      </c>
      <c r="B10" s="9" t="n">
        <v>0.1</v>
      </c>
      <c r="C10" s="8" t="inlineStr">
        <is>
          <t>USD/model</t>
        </is>
      </c>
      <c r="D10" s="8" t="inlineStr">
        <is>
          <t>Example add-on; set to zero if included</t>
        </is>
      </c>
    </row>
    <row r="11" ht="45" customHeight="1">
      <c r="A11" s="6" t="inlineStr">
        <is>
          <t>3D retries / extra calls</t>
        </is>
      </c>
      <c r="B11" s="9" t="n">
        <v>0.15</v>
      </c>
      <c r="C11" s="6" t="inlineStr">
        <is>
          <t>fraction</t>
        </is>
      </c>
      <c r="D11" s="6" t="inlineStr">
        <is>
          <t>0.15 = 15% extra calls</t>
        </is>
      </c>
    </row>
    <row r="12" ht="45" customHeight="1">
      <c r="A12" s="8" t="inlineStr">
        <is>
          <t>LLM input tokens / month</t>
        </is>
      </c>
      <c r="B12" s="9" t="n">
        <v>5000000</v>
      </c>
      <c r="C12" s="8" t="inlineStr">
        <is>
          <t>tokens</t>
        </is>
      </c>
      <c r="D12" s="8" t="inlineStr">
        <is>
          <t>Across brief extraction, prompts, RAG and chat</t>
        </is>
      </c>
    </row>
    <row r="13" ht="45" customHeight="1">
      <c r="A13" s="6" t="inlineStr">
        <is>
          <t>LLM input price / 1M</t>
        </is>
      </c>
      <c r="B13" s="9" t="n">
        <v>0.25</v>
      </c>
      <c r="C13" s="6" t="inlineStr">
        <is>
          <t>USD/M tokens</t>
        </is>
      </c>
      <c r="D13" s="6" t="inlineStr">
        <is>
          <t>Example Gemini Flash-Lite input</t>
        </is>
      </c>
    </row>
    <row r="14" ht="45" customHeight="1">
      <c r="A14" s="8" t="inlineStr">
        <is>
          <t>LLM output tokens / month</t>
        </is>
      </c>
      <c r="B14" s="9" t="n">
        <v>1000000</v>
      </c>
      <c r="C14" s="8" t="inlineStr">
        <is>
          <t>tokens</t>
        </is>
      </c>
      <c r="D14" s="8" t="inlineStr">
        <is>
          <t>Generated text</t>
        </is>
      </c>
    </row>
    <row r="15" ht="45" customHeight="1">
      <c r="A15" s="6" t="inlineStr">
        <is>
          <t>LLM output price / 1M</t>
        </is>
      </c>
      <c r="B15" s="9" t="n">
        <v>1.5</v>
      </c>
      <c r="C15" s="6" t="inlineStr">
        <is>
          <t>USD/M tokens</t>
        </is>
      </c>
      <c r="D15" s="6" t="inlineStr">
        <is>
          <t>Example Gemini Flash-Lite output</t>
        </is>
      </c>
    </row>
    <row r="16" ht="45" customHeight="1">
      <c r="A16" s="8" t="inlineStr">
        <is>
          <t>Embedding tokens / month</t>
        </is>
      </c>
      <c r="B16" s="9" t="n">
        <v>10000000</v>
      </c>
      <c r="C16" s="8" t="inlineStr">
        <is>
          <t>tokens</t>
        </is>
      </c>
      <c r="D16" s="8" t="inlineStr">
        <is>
          <t>New/updated content indexed</t>
        </is>
      </c>
    </row>
    <row r="17" ht="45" customHeight="1">
      <c r="A17" s="6" t="inlineStr">
        <is>
          <t>Embedding price / 1M</t>
        </is>
      </c>
      <c r="B17" s="9" t="n">
        <v>0.02</v>
      </c>
      <c r="C17" s="6" t="inlineStr">
        <is>
          <t>USD/M tokens</t>
        </is>
      </c>
      <c r="D17" s="6" t="inlineStr">
        <is>
          <t>Example text-embedding-3-small</t>
        </is>
      </c>
    </row>
    <row r="18" ht="45" customHeight="1">
      <c r="A18" s="8" t="inlineStr">
        <is>
          <t>Vercel fixed monthly</t>
        </is>
      </c>
      <c r="B18" s="9" t="n">
        <v>20</v>
      </c>
      <c r="C18" s="8" t="inlineStr">
        <is>
          <t>USD/month</t>
        </is>
      </c>
      <c r="D18" s="8" t="inlineStr">
        <is>
          <t>Pro base</t>
        </is>
      </c>
    </row>
    <row r="19" ht="45" customHeight="1">
      <c r="A19" s="6" t="inlineStr">
        <is>
          <t>Supabase fixed monthly</t>
        </is>
      </c>
      <c r="B19" s="9" t="n">
        <v>25</v>
      </c>
      <c r="C19" s="6" t="inlineStr">
        <is>
          <t>USD/month</t>
        </is>
      </c>
      <c r="D19" s="6" t="inlineStr">
        <is>
          <t>Pro base</t>
        </is>
      </c>
    </row>
    <row r="20" ht="45" customHeight="1">
      <c r="A20" s="8" t="inlineStr">
        <is>
          <t>R2 average storage</t>
        </is>
      </c>
      <c r="B20" s="9" t="n">
        <v>100</v>
      </c>
      <c r="C20" s="8" t="inlineStr">
        <is>
          <t>GB-month</t>
        </is>
      </c>
      <c r="D20" s="8" t="inlineStr">
        <is>
          <t>Average stored GB-month</t>
        </is>
      </c>
    </row>
    <row r="21" ht="45" customHeight="1">
      <c r="A21" s="6" t="inlineStr">
        <is>
          <t>R2 price</t>
        </is>
      </c>
      <c r="B21" s="9" t="n">
        <v>0.015</v>
      </c>
      <c r="C21" s="6" t="inlineStr">
        <is>
          <t>USD/GB-month</t>
        </is>
      </c>
      <c r="D21" s="6" t="inlineStr">
        <is>
          <t>Standard storage; requests separate</t>
        </is>
      </c>
    </row>
    <row r="22" ht="45" customHeight="1">
      <c r="A22" s="8" t="inlineStr">
        <is>
          <t>R2 requests estimate</t>
        </is>
      </c>
      <c r="B22" s="9" t="n">
        <v>2</v>
      </c>
      <c r="C22" s="8" t="inlineStr">
        <is>
          <t>USD/month</t>
        </is>
      </c>
      <c r="D22" s="8" t="inlineStr">
        <is>
          <t>Placeholder; replace using operation counts</t>
        </is>
      </c>
    </row>
    <row r="23" ht="45" customHeight="1">
      <c r="A23" s="6" t="inlineStr">
        <is>
          <t>Worker / queue</t>
        </is>
      </c>
      <c r="B23" s="9" t="n">
        <v>20</v>
      </c>
      <c r="C23" s="6" t="inlineStr">
        <is>
          <t>USD/month</t>
        </is>
      </c>
      <c r="D23" s="6" t="inlineStr">
        <is>
          <t>Placeholder until provider and size selected</t>
        </is>
      </c>
    </row>
    <row r="24" ht="45" customHeight="1">
      <c r="A24" s="8" t="inlineStr">
        <is>
          <t>Monitoring / email / other</t>
        </is>
      </c>
      <c r="B24" s="9" t="n">
        <v>15</v>
      </c>
      <c r="C24" s="8" t="inlineStr">
        <is>
          <t>USD/month</t>
        </is>
      </c>
      <c r="D24" s="8" t="inlineStr">
        <is>
          <t>Placeholder</t>
        </is>
      </c>
    </row>
    <row r="25" ht="45" customHeight="1">
      <c r="A25" s="6" t="inlineStr">
        <is>
          <t>USD to INR</t>
        </is>
      </c>
      <c r="B25" s="10" t="n">
        <v>85</v>
      </c>
      <c r="C25" s="6" t="inlineStr">
        <is>
          <t>INR/USD</t>
        </is>
      </c>
      <c r="D25" s="6" t="inlineStr">
        <is>
          <t>Editable assumption; not live FX</t>
        </is>
      </c>
    </row>
    <row r="26"/>
    <row r="27"/>
    <row r="28">
      <c r="A28" s="11" t="inlineStr">
        <is>
          <t>Calculated monthly cost</t>
        </is>
      </c>
    </row>
    <row r="29" ht="36" customHeight="1">
      <c r="A29" s="12" t="inlineStr">
        <is>
          <t>Image generation cost</t>
        </is>
      </c>
      <c r="B29" s="13">
        <f>B5*B6*(1+B7)</f>
        <v/>
      </c>
      <c r="C29" s="8" t="inlineStr">
        <is>
          <t>USD/month</t>
        </is>
      </c>
      <c r="D29" s="8" t="inlineStr">
        <is>
          <t>Image volume × unit price × retry factor</t>
        </is>
      </c>
    </row>
    <row r="30" ht="36" customHeight="1">
      <c r="A30" s="12" t="inlineStr">
        <is>
          <t>3D base generation cost</t>
        </is>
      </c>
      <c r="B30" s="13">
        <f>B8*B9*(1+B11)</f>
        <v/>
      </c>
      <c r="C30" s="8" t="inlineStr">
        <is>
          <t>USD/month</t>
        </is>
      </c>
      <c r="D30" s="8" t="inlineStr">
        <is>
          <t>3D volume × base cost × retry factor</t>
        </is>
      </c>
    </row>
    <row r="31" ht="36" customHeight="1">
      <c r="A31" s="12" t="inlineStr">
        <is>
          <t>3D texture / post-process cost</t>
        </is>
      </c>
      <c r="B31" s="13">
        <f>B8*B10*(1+B11)</f>
        <v/>
      </c>
      <c r="C31" s="8" t="inlineStr">
        <is>
          <t>USD/month</t>
        </is>
      </c>
      <c r="D31" s="8" t="inlineStr">
        <is>
          <t>Assumes this add-on is needed for each model</t>
        </is>
      </c>
    </row>
    <row r="32" ht="36" customHeight="1">
      <c r="A32" s="12" t="inlineStr">
        <is>
          <t>LLM cost</t>
        </is>
      </c>
      <c r="B32" s="13">
        <f>B12/1000000*B13+B14/1000000*B15</f>
        <v/>
      </c>
      <c r="C32" s="8" t="inlineStr">
        <is>
          <t>USD/month</t>
        </is>
      </c>
      <c r="D32" s="8" t="inlineStr">
        <is>
          <t>Input + output token charges</t>
        </is>
      </c>
    </row>
    <row r="33" ht="36" customHeight="1">
      <c r="A33" s="12" t="inlineStr">
        <is>
          <t>Embedding cost</t>
        </is>
      </c>
      <c r="B33" s="13">
        <f>B16/1000000*B17</f>
        <v/>
      </c>
      <c r="C33" s="8" t="inlineStr">
        <is>
          <t>USD/month</t>
        </is>
      </c>
      <c r="D33" s="8" t="inlineStr">
        <is>
          <t>Indexed token charges</t>
        </is>
      </c>
    </row>
    <row r="34" ht="36" customHeight="1">
      <c r="A34" s="12" t="inlineStr">
        <is>
          <t>Infrastructure / fixed cost</t>
        </is>
      </c>
      <c r="B34" s="13">
        <f>B18+B19+B20*B21+B22+B23+B24</f>
        <v/>
      </c>
      <c r="C34" s="8" t="inlineStr">
        <is>
          <t>USD/month</t>
        </is>
      </c>
      <c r="D34" s="8" t="inlineStr">
        <is>
          <t>Vercel + Supabase + R2 + request estimate + worker + other</t>
        </is>
      </c>
    </row>
    <row r="35" ht="36" customHeight="1">
      <c r="A35" s="12" t="inlineStr">
        <is>
          <t>TOTAL MONTHLY ESTIMATE</t>
        </is>
      </c>
      <c r="B35" s="13">
        <f>SUM(B29:B34)</f>
        <v/>
      </c>
      <c r="C35" s="8" t="inlineStr">
        <is>
          <t>USD/month</t>
        </is>
      </c>
      <c r="D35" s="8" t="inlineStr">
        <is>
          <t>Excludes taxes, FX spread and unmodeled overages</t>
        </is>
      </c>
    </row>
    <row r="36" ht="36" customHeight="1">
      <c r="A36" s="12" t="inlineStr">
        <is>
          <t>Total in INR</t>
        </is>
      </c>
      <c r="B36" s="14">
        <f>B35*B25</f>
        <v/>
      </c>
      <c r="C36" s="8" t="inlineStr">
        <is>
          <t>INR/month</t>
        </is>
      </c>
      <c r="D36" s="8" t="inlineStr">
        <is>
          <t>Uses editable FX assumption</t>
        </is>
      </c>
    </row>
    <row r="37" ht="36" customHeight="1">
      <c r="A37" s="12" t="inlineStr">
        <is>
          <t>AI cost per image</t>
        </is>
      </c>
      <c r="B37" s="15">
        <f>IFERROR(B29/(B5*(1+B7)),0)</f>
        <v/>
      </c>
      <c r="C37" s="8" t="inlineStr">
        <is>
          <t>USD/image</t>
        </is>
      </c>
      <c r="D37" s="8" t="inlineStr">
        <is>
          <t>AI generation only, not infrastructure</t>
        </is>
      </c>
    </row>
    <row r="38" ht="36" customHeight="1">
      <c r="A38" s="12" t="inlineStr">
        <is>
          <t>AI cost per 3D model</t>
        </is>
      </c>
      <c r="B38" s="15">
        <f>IFERROR((B30+B31)/(B8*(1+B11)),0)</f>
        <v/>
      </c>
      <c r="C38" s="8" t="inlineStr">
        <is>
          <t>USD/model</t>
        </is>
      </c>
      <c r="D38" s="8" t="inlineStr">
        <is>
          <t>Base + texture</t>
        </is>
      </c>
    </row>
    <row r="39" ht="36" customHeight="1">
      <c r="A39" s="12" t="inlineStr">
        <is>
          <t>Infrastructure per generated asset</t>
        </is>
      </c>
      <c r="B39" s="15">
        <f>IFERROR(B34/(B5*(1+B7)+B8*(1+B11)),0)</f>
        <v/>
      </c>
      <c r="C39" s="8" t="inlineStr">
        <is>
          <t>USD/asset</t>
        </is>
      </c>
      <c r="D39" s="8" t="inlineStr">
        <is>
          <t>Fixed cost allocated over generated assets</t>
        </is>
      </c>
    </row>
  </sheetData>
  <autoFilter ref="A4:D25"/>
  <mergeCells count="3">
    <mergeCell ref="A2:E2"/>
    <mergeCell ref="A28:D28"/>
    <mergeCell ref="A1:E1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9" customWidth="1" min="3" max="3"/>
    <col width="19" customWidth="1" min="4" max="4"/>
    <col width="20" customWidth="1" min="5" max="5"/>
    <col width="28" customWidth="1" min="6" max="6"/>
    <col width="22" customWidth="1" min="7" max="7"/>
    <col width="22" customWidth="1" min="8" max="8"/>
    <col width="23" customWidth="1" min="9" max="9"/>
    <col width="23" customWidth="1" min="10" max="10"/>
    <col width="25" customWidth="1" min="11" max="11"/>
    <col width="57" customWidth="1" min="12" max="12"/>
  </cols>
  <sheetData>
    <row r="1" ht="30" customHeight="1">
      <c r="A1" s="1" t="inlineStr">
        <is>
          <t>Combination Cards</t>
        </is>
      </c>
    </row>
    <row r="2" ht="34" customHeight="1">
      <c r="A2" s="2" t="inlineStr">
        <is>
          <t>Scenario comparison. Yellow quality cells require measured benchmark scores. Monthly estimates exclude fixed costs and LLM unless separately added.</t>
        </is>
      </c>
    </row>
    <row r="3"/>
    <row r="4" ht="40" customHeight="1">
      <c r="A4" s="5" t="inlineStr">
        <is>
          <t>ID</t>
        </is>
      </c>
      <c r="B4" s="5" t="inlineStr">
        <is>
          <t>Image provider</t>
        </is>
      </c>
      <c r="C4" s="5" t="inlineStr">
        <is>
          <t>Image tier</t>
        </is>
      </c>
      <c r="D4" s="5" t="inlineStr">
        <is>
          <t>Image USD/unit</t>
        </is>
      </c>
      <c r="E4" s="5" t="inlineStr">
        <is>
          <t>3D provider</t>
        </is>
      </c>
      <c r="F4" s="5" t="inlineStr">
        <is>
          <t>3D workflow</t>
        </is>
      </c>
      <c r="G4" s="5" t="inlineStr">
        <is>
          <t>3D base USD/model</t>
        </is>
      </c>
      <c r="H4" s="5" t="inlineStr">
        <is>
          <t>Texture USD/model</t>
        </is>
      </c>
      <c r="I4" s="5" t="inlineStr">
        <is>
          <t>Image quality index</t>
        </is>
      </c>
      <c r="J4" s="5" t="inlineStr">
        <is>
          <t>3D quality index</t>
        </is>
      </c>
      <c r="K4" s="5" t="inlineStr">
        <is>
          <t>Monthly variable cost USD</t>
        </is>
      </c>
      <c r="L4" s="5" t="inlineStr">
        <is>
          <t>Positioning / caveat</t>
        </is>
      </c>
    </row>
    <row r="5" ht="45" customHeight="1">
      <c r="A5" s="6" t="inlineStr">
        <is>
          <t>A</t>
        </is>
      </c>
      <c r="B5" s="6" t="inlineStr">
        <is>
          <t>Google Gemini</t>
        </is>
      </c>
      <c r="C5" s="6" t="inlineStr">
        <is>
          <t>Nano Banana 2 / 1K</t>
        </is>
      </c>
      <c r="D5" s="16" t="n">
        <v>0.067</v>
      </c>
      <c r="E5" s="6" t="inlineStr">
        <is>
          <t>Tripo</t>
        </is>
      </c>
      <c r="F5" s="6" t="inlineStr">
        <is>
          <t>Image-to-3D + texture</t>
        </is>
      </c>
      <c r="G5" s="16" t="n">
        <v>0.2</v>
      </c>
      <c r="H5" s="16" t="n">
        <v>0.1</v>
      </c>
      <c r="I5" s="9" t="inlineStr"/>
      <c r="J5" s="9" t="inlineStr"/>
      <c r="K5" s="16">
        <f>'Monthly Calculator'!$B$5*D5*(1+'Monthly Calculator'!$B$7)+'Monthly Calculator'!$B$8*(G5+H5)*(1+'Monthly Calculator'!$B$11)</f>
        <v/>
      </c>
      <c r="L5" s="6" t="inlineStr">
        <is>
          <t>Balanced illustration; actual selected endpoint and texture cost must be confirmed.</t>
        </is>
      </c>
    </row>
    <row r="6" ht="45" customHeight="1">
      <c r="A6" s="8" t="inlineStr">
        <is>
          <t>B</t>
        </is>
      </c>
      <c r="B6" s="8" t="inlineStr">
        <is>
          <t>Google Gemini</t>
        </is>
      </c>
      <c r="C6" s="8" t="inlineStr">
        <is>
          <t>Nano Banana Pro / 2K</t>
        </is>
      </c>
      <c r="D6" s="15" t="n">
        <v>0.134</v>
      </c>
      <c r="E6" s="8" t="inlineStr">
        <is>
          <t>Tripo</t>
        </is>
      </c>
      <c r="F6" s="8" t="inlineStr">
        <is>
          <t>Image-to-3D + texture</t>
        </is>
      </c>
      <c r="G6" s="15" t="n">
        <v>0.2</v>
      </c>
      <c r="H6" s="15" t="n">
        <v>0.1</v>
      </c>
      <c r="I6" s="9" t="inlineStr"/>
      <c r="J6" s="9" t="inlineStr"/>
      <c r="K6" s="15">
        <f>'Monthly Calculator'!$B$5*D6*(1+'Monthly Calculator'!$B$7)+'Monthly Calculator'!$B$8*(G6+H6)*(1+'Monthly Calculator'!$B$11)</f>
        <v/>
      </c>
      <c r="L6" s="8" t="inlineStr">
        <is>
          <t>Premium concept image; illustrative.</t>
        </is>
      </c>
    </row>
    <row r="7" ht="45" customHeight="1">
      <c r="A7" s="6" t="inlineStr">
        <is>
          <t>C</t>
        </is>
      </c>
      <c r="B7" s="6" t="inlineStr">
        <is>
          <t>Black Forest Labs</t>
        </is>
      </c>
      <c r="C7" s="6" t="inlineStr">
        <is>
          <t>FLUX.2 klein 9B / 1MP</t>
        </is>
      </c>
      <c r="D7" s="16" t="n">
        <v>0.015</v>
      </c>
      <c r="E7" s="6" t="inlineStr">
        <is>
          <t>Tripo</t>
        </is>
      </c>
      <c r="F7" s="6" t="inlineStr">
        <is>
          <t>Image-to-3D + texture</t>
        </is>
      </c>
      <c r="G7" s="16" t="n">
        <v>0.2</v>
      </c>
      <c r="H7" s="16" t="n">
        <v>0.1</v>
      </c>
      <c r="I7" s="9" t="inlineStr"/>
      <c r="J7" s="9" t="inlineStr"/>
      <c r="K7" s="16">
        <f>'Monthly Calculator'!$B$5*D7*(1+'Monthly Calculator'!$B$7)+'Monthly Calculator'!$B$8*(G7+H7)*(1+'Monthly Calculator'!$B$11)</f>
        <v/>
      </c>
      <c r="L7" s="6" t="inlineStr">
        <is>
          <t>Low-cost concept image; benchmark output quality.</t>
        </is>
      </c>
    </row>
    <row r="8" ht="45" customHeight="1">
      <c r="A8" s="8" t="inlineStr">
        <is>
          <t>D</t>
        </is>
      </c>
      <c r="B8" s="8" t="inlineStr">
        <is>
          <t>Black Forest Labs</t>
        </is>
      </c>
      <c r="C8" s="8" t="inlineStr">
        <is>
          <t>FLUX.2 Pro / 1MP</t>
        </is>
      </c>
      <c r="D8" s="15" t="n">
        <v>0.03</v>
      </c>
      <c r="E8" s="8" t="inlineStr">
        <is>
          <t>Meshy</t>
        </is>
      </c>
      <c r="F8" s="8" t="inlineStr">
        <is>
          <t>Image-to-3D textured</t>
        </is>
      </c>
      <c r="G8" s="15" t="inlineStr"/>
      <c r="H8" s="15" t="inlineStr"/>
      <c r="I8" s="9" t="inlineStr"/>
      <c r="J8" s="9" t="inlineStr"/>
      <c r="K8" s="15" t="inlineStr"/>
      <c r="L8" s="8" t="inlineStr">
        <is>
          <t>Meshy USD credit conversion unresolved; no cost ranking until verified.</t>
        </is>
      </c>
    </row>
    <row r="9" ht="45" customHeight="1">
      <c r="A9" s="6" t="inlineStr">
        <is>
          <t>E</t>
        </is>
      </c>
      <c r="B9" s="6" t="inlineStr">
        <is>
          <t>Ideogram</t>
        </is>
      </c>
      <c r="C9" s="6" t="inlineStr">
        <is>
          <t>4.5 Medium / 1K</t>
        </is>
      </c>
      <c r="D9" s="16" t="n">
        <v>0.06</v>
      </c>
      <c r="E9" s="6" t="inlineStr">
        <is>
          <t>Tripo</t>
        </is>
      </c>
      <c r="F9" s="6" t="inlineStr">
        <is>
          <t>Image-to-3D + texture</t>
        </is>
      </c>
      <c r="G9" s="16" t="n">
        <v>0.2</v>
      </c>
      <c r="H9" s="16" t="n">
        <v>0.1</v>
      </c>
      <c r="I9" s="9" t="inlineStr"/>
      <c r="J9" s="9" t="inlineStr"/>
      <c r="K9" s="16">
        <f>'Monthly Calculator'!$B$5*D9*(1+'Monthly Calculator'!$B$7)+'Monthly Calculator'!$B$8*(G9+H9)*(1+'Monthly Calculator'!$B$11)</f>
        <v/>
      </c>
      <c r="L9" s="6" t="inlineStr">
        <is>
          <t>Test signage/typography accuracy.</t>
        </is>
      </c>
    </row>
    <row r="10" ht="45" customHeight="1">
      <c r="A10" s="8" t="inlineStr">
        <is>
          <t>F</t>
        </is>
      </c>
      <c r="B10" s="8" t="inlineStr">
        <is>
          <t>OpenAI</t>
        </is>
      </c>
      <c r="C10" s="8" t="inlineStr">
        <is>
          <t>GPT Image 2 / 1024 medium</t>
        </is>
      </c>
      <c r="D10" s="15" t="n">
        <v>0.0224</v>
      </c>
      <c r="E10" s="8" t="inlineStr">
        <is>
          <t>Rodin</t>
        </is>
      </c>
      <c r="F10" s="8" t="inlineStr">
        <is>
          <t>Gen-2.5 standard</t>
        </is>
      </c>
      <c r="G10" s="15" t="inlineStr"/>
      <c r="H10" s="15" t="inlineStr"/>
      <c r="I10" s="9" t="inlineStr"/>
      <c r="J10" s="9" t="inlineStr"/>
      <c r="K10" s="15" t="inlineStr"/>
      <c r="L10" s="8" t="inlineStr">
        <is>
          <t>GPT image price is an estimate; Rodin USD credit conversion unresolved.</t>
        </is>
      </c>
    </row>
  </sheetData>
  <autoFilter ref="A4:L10"/>
  <mergeCells count="2">
    <mergeCell ref="A2:L2"/>
    <mergeCell ref="A1:L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34" customWidth="1" min="3" max="3"/>
    <col width="20" customWidth="1" min="4" max="4"/>
    <col width="20" customWidth="1" min="5" max="5"/>
    <col width="28" customWidth="1" min="6" max="6"/>
    <col width="24" customWidth="1" min="7" max="7"/>
    <col width="26" customWidth="1" min="8" max="8"/>
    <col width="22" customWidth="1" min="9" max="9"/>
    <col width="24" customWidth="1" min="10" max="10"/>
    <col width="18" customWidth="1" min="11" max="11"/>
    <col width="18" customWidth="1" min="12" max="12"/>
  </cols>
  <sheetData>
    <row r="1" ht="30" customHeight="1">
      <c r="A1" s="1" t="inlineStr">
        <is>
          <t>Quality Benchmark</t>
        </is>
      </c>
    </row>
    <row r="2" ht="34" customHeight="1">
      <c r="A2" s="2" t="inlineStr">
        <is>
          <t>Use identical prompts/references and blind score 0–100. Weighted scores are proposed rubrics, not published facts.</t>
        </is>
      </c>
    </row>
    <row r="3"/>
    <row r="4" ht="40" customHeight="1">
      <c r="A4" s="5" t="inlineStr">
        <is>
          <t>Provider/model</t>
        </is>
      </c>
      <c r="B4" s="5" t="inlineStr">
        <is>
          <t>Test asset ID</t>
        </is>
      </c>
      <c r="C4" s="5" t="inlineStr">
        <is>
          <t>Use case</t>
        </is>
      </c>
      <c r="D4" s="5" t="inlineStr">
        <is>
          <t>Visual realism</t>
        </is>
      </c>
      <c r="E4" s="5" t="inlineStr">
        <is>
          <t>Prompt adherence</t>
        </is>
      </c>
      <c r="F4" s="5" t="inlineStr">
        <is>
          <t>Brand/reference adherence</t>
        </is>
      </c>
      <c r="G4" s="5" t="inlineStr">
        <is>
          <t>Text/signage accuracy</t>
        </is>
      </c>
      <c r="H4" s="5" t="inlineStr">
        <is>
          <t>Iteration consistency</t>
        </is>
      </c>
      <c r="I4" s="5" t="inlineStr">
        <is>
          <t>Geometry accuracy</t>
        </is>
      </c>
      <c r="J4" s="5" t="inlineStr">
        <is>
          <t>Editability/export</t>
        </is>
      </c>
      <c r="K4" s="5" t="inlineStr">
        <is>
          <t>Image index</t>
        </is>
      </c>
      <c r="L4" s="5" t="inlineStr">
        <is>
          <t>3D index</t>
        </is>
      </c>
    </row>
    <row r="5" ht="45" customHeight="1">
      <c r="A5" s="6" t="inlineStr">
        <is>
          <t>Nano Banana 2</t>
        </is>
      </c>
      <c r="B5" s="6" t="inlineStr">
        <is>
          <t>Test-001</t>
        </is>
      </c>
      <c r="C5" s="6" t="inlineStr">
        <is>
          <t>Exhibition stall render / asset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17">
        <f>IF(COUNT(D5:H5)=5,0.30*D5+0.25*E5+0.25*F5+0.10*G5+0.10*H5,"")</f>
        <v/>
      </c>
      <c r="L5" s="17">
        <f>IF(COUNT(I5:J5)=2,0.65*I5+0.35*J5,"")</f>
        <v/>
      </c>
    </row>
    <row r="6" ht="45" customHeight="1">
      <c r="A6" s="8" t="inlineStr">
        <is>
          <t>Nano Banana Pro</t>
        </is>
      </c>
      <c r="B6" s="8" t="inlineStr">
        <is>
          <t>Test-001</t>
        </is>
      </c>
      <c r="C6" s="8" t="inlineStr">
        <is>
          <t>Exhibition stall render / asset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18">
        <f>IF(COUNT(D6:H6)=5,0.30*D6+0.25*E6+0.25*F6+0.10*G6+0.10*H6,"")</f>
        <v/>
      </c>
      <c r="L6" s="18">
        <f>IF(COUNT(I6:J6)=2,0.65*I6+0.35*J6,"")</f>
        <v/>
      </c>
    </row>
    <row r="7" ht="45" customHeight="1">
      <c r="A7" s="6" t="inlineStr">
        <is>
          <t>GPT Image 2</t>
        </is>
      </c>
      <c r="B7" s="6" t="inlineStr">
        <is>
          <t>Test-001</t>
        </is>
      </c>
      <c r="C7" s="6" t="inlineStr">
        <is>
          <t>Exhibition stall render / asset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17">
        <f>IF(COUNT(D7:H7)=5,0.30*D7+0.25*E7+0.25*F7+0.10*G7+0.10*H7,"")</f>
        <v/>
      </c>
      <c r="L7" s="17">
        <f>IF(COUNT(I7:J7)=2,0.65*I7+0.35*J7,"")</f>
        <v/>
      </c>
    </row>
    <row r="8" ht="45" customHeight="1">
      <c r="A8" s="8" t="inlineStr">
        <is>
          <t>FLUX.2 Pro</t>
        </is>
      </c>
      <c r="B8" s="8" t="inlineStr">
        <is>
          <t>Test-001</t>
        </is>
      </c>
      <c r="C8" s="8" t="inlineStr">
        <is>
          <t>Exhibition stall render / asset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18">
        <f>IF(COUNT(D8:H8)=5,0.30*D8+0.25*E8+0.25*F8+0.10*G8+0.10*H8,"")</f>
        <v/>
      </c>
      <c r="L8" s="18">
        <f>IF(COUNT(I8:J8)=2,0.65*I8+0.35*J8,"")</f>
        <v/>
      </c>
    </row>
    <row r="9" ht="45" customHeight="1">
      <c r="A9" s="6" t="inlineStr">
        <is>
          <t>Ideogram 4.5</t>
        </is>
      </c>
      <c r="B9" s="6" t="inlineStr">
        <is>
          <t>Test-001</t>
        </is>
      </c>
      <c r="C9" s="6" t="inlineStr">
        <is>
          <t>Exhibition stall render / asset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17">
        <f>IF(COUNT(D9:H9)=5,0.30*D9+0.25*E9+0.25*F9+0.10*G9+0.10*H9,"")</f>
        <v/>
      </c>
      <c r="L9" s="17">
        <f>IF(COUNT(I9:J9)=2,0.65*I9+0.35*J9,"")</f>
        <v/>
      </c>
    </row>
    <row r="10" ht="45" customHeight="1">
      <c r="A10" s="8" t="inlineStr">
        <is>
          <t>Meshy</t>
        </is>
      </c>
      <c r="B10" s="8" t="inlineStr">
        <is>
          <t>Test-001</t>
        </is>
      </c>
      <c r="C10" s="8" t="inlineStr">
        <is>
          <t>Exhibition stall render / asset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18">
        <f>IF(COUNT(D10:H10)=5,0.30*D10+0.25*E10+0.25*F10+0.10*G10+0.10*H10,"")</f>
        <v/>
      </c>
      <c r="L10" s="18">
        <f>IF(COUNT(I10:J10)=2,0.65*I10+0.35*J10,"")</f>
        <v/>
      </c>
    </row>
    <row r="11" ht="45" customHeight="1">
      <c r="A11" s="6" t="inlineStr">
        <is>
          <t>Tripo</t>
        </is>
      </c>
      <c r="B11" s="6" t="inlineStr">
        <is>
          <t>Test-001</t>
        </is>
      </c>
      <c r="C11" s="6" t="inlineStr">
        <is>
          <t>Exhibition stall render / asset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17">
        <f>IF(COUNT(D11:H11)=5,0.30*D11+0.25*E11+0.25*F11+0.10*G11+0.10*H11,"")</f>
        <v/>
      </c>
      <c r="L11" s="17">
        <f>IF(COUNT(I11:J11)=2,0.65*I11+0.35*J11,"")</f>
        <v/>
      </c>
    </row>
    <row r="12" ht="45" customHeight="1">
      <c r="A12" s="8" t="inlineStr">
        <is>
          <t>Rodin Gen-2.5</t>
        </is>
      </c>
      <c r="B12" s="8" t="inlineStr">
        <is>
          <t>Test-001</t>
        </is>
      </c>
      <c r="C12" s="8" t="inlineStr">
        <is>
          <t>Exhibition stall render / asset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18">
        <f>IF(COUNT(D12:H12)=5,0.30*D12+0.25*E12+0.25*F12+0.10*G12+0.10*H12,"")</f>
        <v/>
      </c>
      <c r="L12" s="18">
        <f>IF(COUNT(I12:J12)=2,0.65*I12+0.35*J12,"")</f>
        <v/>
      </c>
    </row>
  </sheetData>
  <autoFilter ref="A4:L12"/>
  <mergeCells count="2">
    <mergeCell ref="A2:L2"/>
    <mergeCell ref="A1:L1"/>
  </mergeCells>
  <conditionalFormatting sqref="K5:L12">
    <cfRule type="colorScale" priority="1">
      <colorScale>
        <cfvo type="num" val="0"/>
        <cfvo type="num" val="70"/>
        <cfvo type="num" val="100"/>
        <color rgb="00F8696B"/>
        <color rgb="00FFEB84"/>
        <color rgb="0063BE7B"/>
      </colorScale>
    </cfRule>
  </conditionalFormatting>
  <dataValidations count="1">
    <dataValidation sqref="D5:J12" showDropDown="0" showInputMessage="0" showErrorMessage="0" allowBlank="1" type="decimal" operator="between">
      <formula1>0</formula1>
      <formula2>100</formula2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56" customWidth="1" min="4" max="4"/>
    <col width="55" customWidth="1" min="5" max="5"/>
    <col width="50" customWidth="1" min="6" max="6"/>
    <col width="35" customWidth="1" min="7" max="7"/>
  </cols>
  <sheetData>
    <row r="1" ht="30" customHeight="1">
      <c r="A1" s="1" t="inlineStr">
        <is>
          <t>Source Register</t>
        </is>
      </c>
    </row>
    <row r="2" ht="34" customHeight="1">
      <c r="A2" s="2" t="inlineStr">
        <is>
          <t>Official provider sources prioritized. Links are clickable; research snapshot 15 Oct 2026.</t>
        </is>
      </c>
    </row>
    <row r="3"/>
    <row r="4" ht="40" customHeight="1">
      <c r="A4" s="5" t="inlineStr">
        <is>
          <t>ID</t>
        </is>
      </c>
      <c r="B4" s="5" t="inlineStr">
        <is>
          <t>Provider/topic</t>
        </is>
      </c>
      <c r="C4" s="5" t="inlineStr">
        <is>
          <t>Source type</t>
        </is>
      </c>
      <c r="D4" s="5" t="inlineStr">
        <is>
          <t>What it supports</t>
        </is>
      </c>
      <c r="E4" s="5" t="inlineStr">
        <is>
          <t>URL</t>
        </is>
      </c>
      <c r="F4" s="5" t="inlineStr">
        <is>
          <t>Confidence / notes</t>
        </is>
      </c>
      <c r="G4" s="5" t="inlineStr">
        <is>
          <t>Refresh trigger</t>
        </is>
      </c>
    </row>
    <row r="5" ht="45" customHeight="1">
      <c r="A5" s="6" t="inlineStr">
        <is>
          <t>S01</t>
        </is>
      </c>
      <c r="B5" s="6" t="inlineStr">
        <is>
          <t>Google Gemini API pricing</t>
        </is>
      </c>
      <c r="C5" s="6" t="inlineStr">
        <is>
          <t>Official pricing</t>
        </is>
      </c>
      <c r="D5" s="6" t="inlineStr">
        <is>
          <t>Nano Banana 2 rates, batch rates, Flash-Lite and text prices</t>
        </is>
      </c>
      <c r="E5" s="7" t="inlineStr">
        <is>
          <t>https://ai.google.dev/gemini-api/docs/pricing</t>
        </is>
      </c>
      <c r="F5" s="6" t="inlineStr">
        <is>
          <t>Published page; verify exact model row and model status.</t>
        </is>
      </c>
      <c r="G5" s="6" t="inlineStr">
        <is>
          <t>Model/pricing update</t>
        </is>
      </c>
    </row>
    <row r="6" ht="45" customHeight="1">
      <c r="A6" s="8" t="inlineStr">
        <is>
          <t>S02</t>
        </is>
      </c>
      <c r="B6" s="8" t="inlineStr">
        <is>
          <t>Google Gemini model docs</t>
        </is>
      </c>
      <c r="C6" s="8" t="inlineStr">
        <is>
          <t>Official docs</t>
        </is>
      </c>
      <c r="D6" s="8" t="inlineStr">
        <is>
          <t>Nano Banana model names and status</t>
        </is>
      </c>
      <c r="E6" s="7" t="inlineStr">
        <is>
          <t>https://ai.google.dev/gemini-api/docs/gemini-3</t>
        </is>
      </c>
      <c r="F6" s="8" t="inlineStr">
        <is>
          <t>Model status can change.</t>
        </is>
      </c>
      <c r="G6" s="8" t="inlineStr">
        <is>
          <t>Model update</t>
        </is>
      </c>
    </row>
    <row r="7" ht="45" customHeight="1">
      <c r="A7" s="6" t="inlineStr">
        <is>
          <t>S03</t>
        </is>
      </c>
      <c r="B7" s="6" t="inlineStr">
        <is>
          <t>OpenAI API pricing</t>
        </is>
      </c>
      <c r="C7" s="6" t="inlineStr">
        <is>
          <t>Official pricing</t>
        </is>
      </c>
      <c r="D7" s="6" t="inlineStr">
        <is>
          <t>GPT Image token rates and text LLM prices</t>
        </is>
      </c>
      <c r="E7" s="7" t="inlineStr">
        <is>
          <t>https://developers.openai.com/api/docs/pricing</t>
        </is>
      </c>
      <c r="F7" s="6" t="inlineStr">
        <is>
          <t>Per-image estimate not universal; token usage required.</t>
        </is>
      </c>
      <c r="G7" s="6" t="inlineStr">
        <is>
          <t>Pricing update</t>
        </is>
      </c>
    </row>
    <row r="8" ht="45" customHeight="1">
      <c r="A8" s="8" t="inlineStr">
        <is>
          <t>S04</t>
        </is>
      </c>
      <c r="B8" s="8" t="inlineStr">
        <is>
          <t>OpenAI image generation guide</t>
        </is>
      </c>
      <c r="C8" s="8" t="inlineStr">
        <is>
          <t>Official guide</t>
        </is>
      </c>
      <c r="D8" s="8" t="inlineStr">
        <is>
          <t>Request-specific image pricing methodology</t>
        </is>
      </c>
      <c r="E8" s="7" t="inlineStr">
        <is>
          <t>https://developers.openai.com/api/docs/guides/image-generation/</t>
        </is>
      </c>
      <c r="F8" s="8" t="inlineStr">
        <is>
          <t>Use real usage logs.</t>
        </is>
      </c>
      <c r="G8" s="8" t="inlineStr">
        <is>
          <t>API update</t>
        </is>
      </c>
    </row>
    <row r="9" ht="45" customHeight="1">
      <c r="A9" s="6" t="inlineStr">
        <is>
          <t>S05</t>
        </is>
      </c>
      <c r="B9" s="6" t="inlineStr">
        <is>
          <t>BFL API skill docs</t>
        </is>
      </c>
      <c r="C9" s="6" t="inlineStr">
        <is>
          <t>Official BFL GitHub org</t>
        </is>
      </c>
      <c r="D9" s="6" t="inlineStr">
        <is>
          <t>FLUX.2 per-megapixel pricing and edit rates</t>
        </is>
      </c>
      <c r="E9" s="7" t="inlineStr">
        <is>
          <t>https://github.com/black-forest-labs/skills/blob/master/skills/bfl-api/SKILL.md</t>
        </is>
      </c>
      <c r="F9" s="6" t="inlineStr">
        <is>
          <t>Verify against live BFL pricing page/calculator.</t>
        </is>
      </c>
      <c r="G9" s="6" t="inlineStr">
        <is>
          <t>Endpoint update</t>
        </is>
      </c>
    </row>
    <row r="10" ht="45" customHeight="1">
      <c r="A10" s="8" t="inlineStr">
        <is>
          <t>S06</t>
        </is>
      </c>
      <c r="B10" s="8" t="inlineStr">
        <is>
          <t>Ideogram pricing</t>
        </is>
      </c>
      <c r="C10" s="8" t="inlineStr">
        <is>
          <t>Official pricing</t>
        </is>
      </c>
      <c r="D10" s="8" t="inlineStr">
        <is>
          <t>Ideogram 4.5, 4.0, P-Image, reference/edit rates</t>
        </is>
      </c>
      <c r="E10" s="7" t="inlineStr">
        <is>
          <t>https://ideogram.ai/pricing/?tool=ideogram</t>
        </is>
      </c>
      <c r="F10" s="8" t="inlineStr">
        <is>
          <t>GPT Image estimates on this page are estimates.</t>
        </is>
      </c>
      <c r="G10" s="8" t="inlineStr">
        <is>
          <t>Pricing update</t>
        </is>
      </c>
    </row>
    <row r="11" ht="45" customHeight="1">
      <c r="A11" s="6" t="inlineStr">
        <is>
          <t>S07</t>
        </is>
      </c>
      <c r="B11" s="6" t="inlineStr">
        <is>
          <t>Meshy task credits</t>
        </is>
      </c>
      <c r="C11" s="6" t="inlineStr">
        <is>
          <t>Official help center</t>
        </is>
      </c>
      <c r="D11" s="6" t="inlineStr">
        <is>
          <t>Task credit consumption examples</t>
        </is>
      </c>
      <c r="E11" s="7" t="inlineStr">
        <is>
          <t>https://help.meshy.ai/en/articles/16815622-how-many-credits-does-each-meshy-api-task-cost</t>
        </is>
      </c>
      <c r="F11" s="6" t="inlineStr">
        <is>
          <t>Credit-to-USD conversion not verified here.</t>
        </is>
      </c>
      <c r="G11" s="6" t="inlineStr">
        <is>
          <t>Plan/bundle change</t>
        </is>
      </c>
    </row>
    <row r="12" ht="45" customHeight="1">
      <c r="A12" s="8" t="inlineStr">
        <is>
          <t>S08</t>
        </is>
      </c>
      <c r="B12" s="8" t="inlineStr">
        <is>
          <t>Tripo API</t>
        </is>
      </c>
      <c r="C12" s="8" t="inlineStr">
        <is>
          <t>Official developer site</t>
        </is>
      </c>
      <c r="D12" s="8" t="inlineStr">
        <is>
          <t>1 credit=$0.01 and task credit ranges</t>
        </is>
      </c>
      <c r="E12" s="7" t="inlineStr">
        <is>
          <t>https://developers.tripo3d.ai/en</t>
        </is>
      </c>
      <c r="F12" s="8" t="inlineStr">
        <is>
          <t>Confirm model and endpoint selected.</t>
        </is>
      </c>
      <c r="G12" s="8" t="inlineStr">
        <is>
          <t>Pricing update</t>
        </is>
      </c>
    </row>
    <row r="13" ht="45" customHeight="1">
      <c r="A13" s="6" t="inlineStr">
        <is>
          <t>S09</t>
        </is>
      </c>
      <c r="B13" s="6" t="inlineStr">
        <is>
          <t>Rodin Gen-2.5</t>
        </is>
      </c>
      <c r="C13" s="6" t="inlineStr">
        <is>
          <t>Official API docs</t>
        </is>
      </c>
      <c r="D13" s="6" t="inlineStr">
        <is>
          <t>Base and tier/texture credit increments</t>
        </is>
      </c>
      <c r="E13" s="7" t="inlineStr">
        <is>
          <t>https://docs.hyper3d.ai/en/api-specification/rodin-gen2-5</t>
        </is>
      </c>
      <c r="F13" s="6" t="inlineStr">
        <is>
          <t>USD conversion unresolved.</t>
        </is>
      </c>
      <c r="G13" s="6" t="inlineStr">
        <is>
          <t>Plan selected</t>
        </is>
      </c>
    </row>
    <row r="14" ht="45" customHeight="1">
      <c r="A14" s="8" t="inlineStr">
        <is>
          <t>S10</t>
        </is>
      </c>
      <c r="B14" s="8" t="inlineStr">
        <is>
          <t>Rodin texture API</t>
        </is>
      </c>
      <c r="C14" s="8" t="inlineStr">
        <is>
          <t>Official API docs</t>
        </is>
      </c>
      <c r="D14" s="8" t="inlineStr">
        <is>
          <t>Texture task credit charges</t>
        </is>
      </c>
      <c r="E14" s="7" t="inlineStr">
        <is>
          <t>https://docs.hyper3d.ai/en/api-specification/generate-texture</t>
        </is>
      </c>
      <c r="F14" s="8" t="inlineStr">
        <is>
          <t>USD conversion unresolved.</t>
        </is>
      </c>
      <c r="G14" s="8" t="inlineStr">
        <is>
          <t>Plan selected</t>
        </is>
      </c>
    </row>
    <row r="15" ht="45" customHeight="1">
      <c r="A15" s="6" t="inlineStr">
        <is>
          <t>S11</t>
        </is>
      </c>
      <c r="B15" s="6" t="inlineStr">
        <is>
          <t>Vercel pricing</t>
        </is>
      </c>
      <c r="C15" s="6" t="inlineStr">
        <is>
          <t>Official pricing</t>
        </is>
      </c>
      <c r="D15" s="6" t="inlineStr">
        <is>
          <t>Pro base plan and included usage credit</t>
        </is>
      </c>
      <c r="E15" s="7" t="inlineStr">
        <is>
          <t>https://vercel.com/pricing</t>
        </is>
      </c>
      <c r="F15" s="6" t="inlineStr">
        <is>
          <t>Usage/seat overages vary.</t>
        </is>
      </c>
      <c r="G15" s="6" t="inlineStr">
        <is>
          <t>Plan update</t>
        </is>
      </c>
    </row>
    <row r="16" ht="45" customHeight="1">
      <c r="A16" s="8" t="inlineStr">
        <is>
          <t>S12</t>
        </is>
      </c>
      <c r="B16" s="8" t="inlineStr">
        <is>
          <t>Supabase pricing</t>
        </is>
      </c>
      <c r="C16" s="8" t="inlineStr">
        <is>
          <t>Official pricing</t>
        </is>
      </c>
      <c r="D16" s="8" t="inlineStr">
        <is>
          <t>Pro base plan and included allowances</t>
        </is>
      </c>
      <c r="E16" s="7" t="inlineStr">
        <is>
          <t>https://supabase.com/pricing</t>
        </is>
      </c>
      <c r="F16" s="8" t="inlineStr">
        <is>
          <t>Usage and compute add-ons vary.</t>
        </is>
      </c>
      <c r="G16" s="8" t="inlineStr">
        <is>
          <t>Plan update</t>
        </is>
      </c>
    </row>
    <row r="17" ht="45" customHeight="1">
      <c r="A17" s="6" t="inlineStr">
        <is>
          <t>S13</t>
        </is>
      </c>
      <c r="B17" s="6" t="inlineStr">
        <is>
          <t>Supabase billing</t>
        </is>
      </c>
      <c r="C17" s="6" t="inlineStr">
        <is>
          <t>Official docs</t>
        </is>
      </c>
      <c r="D17" s="6" t="inlineStr">
        <is>
          <t>DB/storage/egress and overage rates</t>
        </is>
      </c>
      <c r="E17" s="7" t="inlineStr">
        <is>
          <t>https://supabase.com/docs/guides/platform/billing-on-supabase</t>
        </is>
      </c>
      <c r="F17" s="6" t="inlineStr">
        <is>
          <t>Re-check current billing table.</t>
        </is>
      </c>
      <c r="G17" s="6" t="inlineStr">
        <is>
          <t>Billing update</t>
        </is>
      </c>
    </row>
    <row r="18" ht="45" customHeight="1">
      <c r="A18" s="8" t="inlineStr">
        <is>
          <t>S14</t>
        </is>
      </c>
      <c r="B18" s="8" t="inlineStr">
        <is>
          <t>Cloudflare R2 pricing</t>
        </is>
      </c>
      <c r="C18" s="8" t="inlineStr">
        <is>
          <t>Official docs</t>
        </is>
      </c>
      <c r="D18" s="8" t="inlineStr">
        <is>
          <t>Storage, request costs, free tier, egress</t>
        </is>
      </c>
      <c r="E18" s="7" t="inlineStr">
        <is>
          <t>https://developers.cloudflare.com/r2/pricing/</t>
        </is>
      </c>
      <c r="F18" s="8" t="inlineStr">
        <is>
          <t>Recently updated pricing page.</t>
        </is>
      </c>
      <c r="G18" s="8" t="inlineStr">
        <is>
          <t>Pricing update</t>
        </is>
      </c>
    </row>
    <row r="19" ht="45" customHeight="1">
      <c r="A19" s="6" t="inlineStr">
        <is>
          <t>S15</t>
        </is>
      </c>
      <c r="B19" s="6" t="inlineStr">
        <is>
          <t>OpenAI embeddings</t>
        </is>
      </c>
      <c r="C19" s="6" t="inlineStr">
        <is>
          <t>Official model docs</t>
        </is>
      </c>
      <c r="D19" s="6" t="inlineStr">
        <is>
          <t>Embedding price per million tokens</t>
        </is>
      </c>
      <c r="E19" s="7" t="inlineStr">
        <is>
          <t>https://developers.openai.com/api/docs/models/text-embedding-3-large</t>
        </is>
      </c>
      <c r="F19" s="6" t="inlineStr">
        <is>
          <t>Confirm current price and batch tier.</t>
        </is>
      </c>
      <c r="G19" s="6" t="inlineStr">
        <is>
          <t>Model update</t>
        </is>
      </c>
    </row>
    <row r="20" ht="45" customHeight="1">
      <c r="A20" s="8" t="inlineStr">
        <is>
          <t>S16</t>
        </is>
      </c>
      <c r="B20" s="8" t="inlineStr">
        <is>
          <t>Tencent Cloud</t>
        </is>
      </c>
      <c r="C20" s="8" t="inlineStr">
        <is>
          <t>Official cloud portal</t>
        </is>
      </c>
      <c r="D20" s="8" t="inlineStr">
        <is>
          <t>Potential Hunyuan 3D route; no universal cost used</t>
        </is>
      </c>
      <c r="E20" s="7" t="inlineStr">
        <is>
          <t>https://cloud.tencent.com/</t>
        </is>
      </c>
      <c r="F20" s="8" t="inlineStr">
        <is>
          <t>Need exact endpoint/region pricing.</t>
        </is>
      </c>
      <c r="G20" s="8" t="inlineStr">
        <is>
          <t>Endpoint selected</t>
        </is>
      </c>
    </row>
    <row r="21" ht="45" customHeight="1">
      <c r="A21" s="6" t="inlineStr">
        <is>
          <t>S17</t>
        </is>
      </c>
      <c r="B21" s="6" t="inlineStr">
        <is>
          <t>Resend pricing</t>
        </is>
      </c>
      <c r="C21" s="6" t="inlineStr">
        <is>
          <t>Official pricing</t>
        </is>
      </c>
      <c r="D21" s="6" t="inlineStr">
        <is>
          <t>Email candidate only</t>
        </is>
      </c>
      <c r="E21" s="7" t="inlineStr">
        <is>
          <t>https://resend.com/pricing</t>
        </is>
      </c>
      <c r="F21" s="6" t="inlineStr">
        <is>
          <t>Not priced in workbook.</t>
        </is>
      </c>
      <c r="G21" s="6" t="inlineStr">
        <is>
          <t>Provider selected</t>
        </is>
      </c>
    </row>
    <row r="22" ht="45" customHeight="1">
      <c r="A22" s="8" t="inlineStr">
        <is>
          <t>S18</t>
        </is>
      </c>
      <c r="B22" s="8" t="inlineStr">
        <is>
          <t>Sentry pricing</t>
        </is>
      </c>
      <c r="C22" s="8" t="inlineStr">
        <is>
          <t>Official pricing</t>
        </is>
      </c>
      <c r="D22" s="8" t="inlineStr">
        <is>
          <t>Monitoring candidate only</t>
        </is>
      </c>
      <c r="E22" s="7" t="inlineStr">
        <is>
          <t>https://sentry.io/pricing</t>
        </is>
      </c>
      <c r="F22" s="8" t="inlineStr">
        <is>
          <t>Not priced in workbook.</t>
        </is>
      </c>
      <c r="G22" s="8" t="inlineStr">
        <is>
          <t>Provider selected</t>
        </is>
      </c>
    </row>
    <row r="23" ht="45" customHeight="1">
      <c r="A23" s="6" t="inlineStr">
        <is>
          <t>S19</t>
        </is>
      </c>
      <c r="B23" s="6" t="inlineStr">
        <is>
          <t>Render pricing</t>
        </is>
      </c>
      <c r="C23" s="6" t="inlineStr">
        <is>
          <t>Official pricing</t>
        </is>
      </c>
      <c r="D23" s="6" t="inlineStr">
        <is>
          <t>Worker candidate only</t>
        </is>
      </c>
      <c r="E23" s="7" t="inlineStr">
        <is>
          <t>https://render.com/pricing</t>
        </is>
      </c>
      <c r="F23" s="6" t="inlineStr">
        <is>
          <t>Sizing required.</t>
        </is>
      </c>
      <c r="G23" s="6" t="inlineStr">
        <is>
          <t>Worker selected</t>
        </is>
      </c>
    </row>
    <row r="24" ht="45" customHeight="1">
      <c r="A24" s="8" t="inlineStr">
        <is>
          <t>S20</t>
        </is>
      </c>
      <c r="B24" s="8" t="inlineStr">
        <is>
          <t>Cloudflare Registrar</t>
        </is>
      </c>
      <c r="C24" s="8" t="inlineStr">
        <is>
          <t>Official product</t>
        </is>
      </c>
      <c r="D24" s="8" t="inlineStr">
        <is>
          <t>Domain candidate only</t>
        </is>
      </c>
      <c r="E24" s="7" t="inlineStr">
        <is>
          <t>https://www.cloudflare.com/products/registrar/</t>
        </is>
      </c>
      <c r="F24" s="8" t="inlineStr">
        <is>
          <t>TLD-specific price.</t>
        </is>
      </c>
      <c r="G24" s="8" t="inlineStr">
        <is>
          <t>Domain selected</t>
        </is>
      </c>
    </row>
  </sheetData>
  <autoFilter ref="A4:G24"/>
  <mergeCells count="2">
    <mergeCell ref="A2:G2"/>
    <mergeCell ref="A1:G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2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1" customWidth="1" min="3" max="3"/>
    <col width="48" customWidth="1" min="4" max="4"/>
    <col width="58" customWidth="1" min="5" max="5"/>
    <col width="16" customWidth="1" min="6" max="6"/>
    <col width="28" customWidth="1" min="7" max="7"/>
  </cols>
  <sheetData>
    <row r="1" ht="30" customHeight="1">
      <c r="A1" s="1" t="inlineStr">
        <is>
          <t>Verification Backlog</t>
        </is>
      </c>
    </row>
    <row r="2" ht="34" customHeight="1">
      <c r="A2" s="2" t="inlineStr">
        <is>
          <t>Unresolved facts are deliberately left blank instead of guessed. Close P0 items before advertising exact costs.</t>
        </is>
      </c>
    </row>
    <row r="3"/>
    <row r="4" ht="40" customHeight="1">
      <c r="A4" s="5" t="inlineStr">
        <is>
          <t>Priority</t>
        </is>
      </c>
      <c r="B4" s="5" t="inlineStr">
        <is>
          <t>Area</t>
        </is>
      </c>
      <c r="C4" s="5" t="inlineStr">
        <is>
          <t>Open question</t>
        </is>
      </c>
      <c r="D4" s="5" t="inlineStr">
        <is>
          <t>Why it matters</t>
        </is>
      </c>
      <c r="E4" s="5" t="inlineStr">
        <is>
          <t>How to verify</t>
        </is>
      </c>
      <c r="F4" s="5" t="inlineStr">
        <is>
          <t>Status</t>
        </is>
      </c>
      <c r="G4" s="5" t="inlineStr">
        <is>
          <t>Owner / notes</t>
        </is>
      </c>
    </row>
    <row r="5" ht="45" customHeight="1">
      <c r="A5" s="6" t="inlineStr">
        <is>
          <t>P0</t>
        </is>
      </c>
      <c r="B5" s="6" t="inlineStr">
        <is>
          <t>Meshy</t>
        </is>
      </c>
      <c r="C5" s="6" t="inlineStr">
        <is>
          <t>Confirm USD cost per API credit, top-up bundles and included subscription credits.</t>
        </is>
      </c>
      <c r="D5" s="6" t="inlineStr">
        <is>
          <t>Task credits alone cannot calculate USD/model.</t>
        </is>
      </c>
      <c r="E5" s="6" t="inlineStr">
        <is>
          <t>Capture plan/credit price from account billing; run sample task and reconcile invoice.</t>
        </is>
      </c>
      <c r="F5" s="9" t="inlineStr">
        <is>
          <t>Open</t>
        </is>
      </c>
      <c r="G5" s="6" t="inlineStr"/>
    </row>
    <row r="6" ht="45" customHeight="1">
      <c r="A6" s="8" t="inlineStr">
        <is>
          <t>P0</t>
        </is>
      </c>
      <c r="B6" s="8" t="inlineStr">
        <is>
          <t>Rodin</t>
        </is>
      </c>
      <c r="C6" s="8" t="inlineStr">
        <is>
          <t>Confirm effective USD per API credit and whether subscription credits cover API calls.</t>
        </is>
      </c>
      <c r="D6" s="8" t="inlineStr">
        <is>
          <t>Docs show credit units but no verified conversion.</t>
        </is>
      </c>
      <c r="E6" s="8" t="inlineStr">
        <is>
          <t>Check account/API billing or request written quote; reconcile test task.</t>
        </is>
      </c>
      <c r="F6" s="9" t="inlineStr">
        <is>
          <t>Open</t>
        </is>
      </c>
      <c r="G6" s="8" t="inlineStr"/>
    </row>
    <row r="7" ht="45" customHeight="1">
      <c r="A7" s="6" t="inlineStr">
        <is>
          <t>P0</t>
        </is>
      </c>
      <c r="B7" s="6" t="inlineStr">
        <is>
          <t>OpenAI GPT Image</t>
        </is>
      </c>
      <c r="C7" s="6" t="inlineStr">
        <is>
          <t>Implement request-specific image estimate from actual token usage/output configuration.</t>
        </is>
      </c>
      <c r="D7" s="6" t="inlineStr">
        <is>
          <t>Fixed per-image price varies by request.</t>
        </is>
      </c>
      <c r="E7" s="6" t="inlineStr">
        <is>
          <t>Follow official guide and log usage from representative prompts.</t>
        </is>
      </c>
      <c r="F7" s="9" t="inlineStr">
        <is>
          <t>Open</t>
        </is>
      </c>
      <c r="G7" s="6" t="inlineStr"/>
    </row>
    <row r="8" ht="45" customHeight="1">
      <c r="A8" s="8" t="inlineStr">
        <is>
          <t>P0</t>
        </is>
      </c>
      <c r="B8" s="8" t="inlineStr">
        <is>
          <t>3D workflow</t>
        </is>
      </c>
      <c r="C8" s="8" t="inlineStr">
        <is>
          <t>Map all billable steps: generation, texture, remesh, conversion, retopology, multiview.</t>
        </is>
      </c>
      <c r="D8" s="8" t="inlineStr">
        <is>
          <t>Finished model may require several billable tasks.</t>
        </is>
      </c>
      <c r="E8" s="8" t="inlineStr">
        <is>
          <t>Run image-to-GLB workflow on each candidate; record every task and credit.</t>
        </is>
      </c>
      <c r="F8" s="9" t="inlineStr">
        <is>
          <t>Open</t>
        </is>
      </c>
      <c r="G8" s="8" t="inlineStr"/>
    </row>
    <row r="9" ht="45" customHeight="1">
      <c r="A9" s="6" t="inlineStr">
        <is>
          <t>P0</t>
        </is>
      </c>
      <c r="B9" s="6" t="inlineStr">
        <is>
          <t>Quality index</t>
        </is>
      </c>
      <c r="C9" s="6" t="inlineStr">
        <is>
          <t>Build identical exhibition-booth benchmark prompts and references.</t>
        </is>
      </c>
      <c r="D9" s="6" t="inlineStr">
        <is>
          <t>Scores must be measured, not guessed.</t>
        </is>
      </c>
      <c r="E9" s="6" t="inlineStr">
        <is>
          <t>Blind-score the same output set with a documented rubric.</t>
        </is>
      </c>
      <c r="F9" s="9" t="inlineStr">
        <is>
          <t>Open</t>
        </is>
      </c>
      <c r="G9" s="6" t="inlineStr"/>
    </row>
    <row r="10" ht="45" customHeight="1">
      <c r="A10" s="8" t="inlineStr">
        <is>
          <t>P1</t>
        </is>
      </c>
      <c r="B10" s="8" t="inlineStr">
        <is>
          <t>Gemini</t>
        </is>
      </c>
      <c r="C10" s="8" t="inlineStr">
        <is>
          <t>Confirm exact stable model IDs, standard/batch prices and API availability.</t>
        </is>
      </c>
      <c r="D10" s="8" t="inlineStr">
        <is>
          <t>Preview/stable status can change.</t>
        </is>
      </c>
      <c r="E10" s="8" t="inlineStr">
        <is>
          <t>Recheck model and pricing docs before launch.</t>
        </is>
      </c>
      <c r="F10" s="9" t="inlineStr">
        <is>
          <t>Open</t>
        </is>
      </c>
      <c r="G10" s="8" t="inlineStr"/>
    </row>
    <row r="11" ht="45" customHeight="1">
      <c r="A11" s="6" t="inlineStr">
        <is>
          <t>P1</t>
        </is>
      </c>
      <c r="B11" s="6" t="inlineStr">
        <is>
          <t>Ideogram</t>
        </is>
      </c>
      <c r="C11" s="6" t="inlineStr">
        <is>
          <t>Confirm API access, endpoint availability and rate limits for selected tiers.</t>
        </is>
      </c>
      <c r="D11" s="6" t="inlineStr">
        <is>
          <t>Pricing and access may differ by endpoint/account.</t>
        </is>
      </c>
      <c r="E11" s="6" t="inlineStr">
        <is>
          <t>Test API account and commercial terms.</t>
        </is>
      </c>
      <c r="F11" s="9" t="inlineStr">
        <is>
          <t>Open</t>
        </is>
      </c>
      <c r="G11" s="6" t="inlineStr"/>
    </row>
    <row r="12" ht="45" customHeight="1">
      <c r="A12" s="8" t="inlineStr">
        <is>
          <t>P1</t>
        </is>
      </c>
      <c r="B12" s="8" t="inlineStr">
        <is>
          <t>Vercel</t>
        </is>
      </c>
      <c r="C12" s="8" t="inlineStr">
        <is>
          <t>Model bandwidth, function usage, seats and overages.</t>
        </is>
      </c>
      <c r="D12" s="8" t="inlineStr">
        <is>
          <t>Base plan is not total cost at scale.</t>
        </is>
      </c>
      <c r="E12" s="8" t="inlineStr">
        <is>
          <t>Load test and export usage.</t>
        </is>
      </c>
      <c r="F12" s="9" t="inlineStr">
        <is>
          <t>Open</t>
        </is>
      </c>
      <c r="G12" s="8" t="inlineStr"/>
    </row>
    <row r="13" ht="45" customHeight="1">
      <c r="A13" s="6" t="inlineStr">
        <is>
          <t>P1</t>
        </is>
      </c>
      <c r="B13" s="6" t="inlineStr">
        <is>
          <t>Supabase</t>
        </is>
      </c>
      <c r="C13" s="6" t="inlineStr">
        <is>
          <t>Size compute, backups, PITR, logs, DB size, storage and egress.</t>
        </is>
      </c>
      <c r="D13" s="6" t="inlineStr">
        <is>
          <t>Base plan may not cover production workload.</t>
        </is>
      </c>
      <c r="E13" s="6" t="inlineStr">
        <is>
          <t>Measure pilot usage and price add-ons.</t>
        </is>
      </c>
      <c r="F13" s="9" t="inlineStr">
        <is>
          <t>Open</t>
        </is>
      </c>
      <c r="G13" s="6" t="inlineStr"/>
    </row>
    <row r="14" ht="45" customHeight="1">
      <c r="A14" s="8" t="inlineStr">
        <is>
          <t>P1</t>
        </is>
      </c>
      <c r="B14" s="8" t="inlineStr">
        <is>
          <t>R2</t>
        </is>
      </c>
      <c r="C14" s="8" t="inlineStr">
        <is>
          <t>Count upload/download requests, previews, multipart operations and GB-month.</t>
        </is>
      </c>
      <c r="D14" s="8" t="inlineStr">
        <is>
          <t>Storage is not the whole bill.</t>
        </is>
      </c>
      <c r="E14" s="8" t="inlineStr">
        <is>
          <t>Instrument Class A/B operations and calculate.</t>
        </is>
      </c>
      <c r="F14" s="9" t="inlineStr">
        <is>
          <t>Open</t>
        </is>
      </c>
      <c r="G14" s="8" t="inlineStr"/>
    </row>
    <row r="15" ht="45" customHeight="1">
      <c r="A15" s="6" t="inlineStr">
        <is>
          <t>P1</t>
        </is>
      </c>
      <c r="B15" s="6" t="inlineStr">
        <is>
          <t>Text LLM</t>
        </is>
      </c>
      <c r="C15" s="6" t="inlineStr">
        <is>
          <t>Measure tokens per brief extraction, planning, prompt generation, RAG and chat.</t>
        </is>
      </c>
      <c r="D15" s="6" t="inlineStr">
        <is>
          <t>Model mix determines cost.</t>
        </is>
      </c>
      <c r="E15" s="6" t="inlineStr">
        <is>
          <t>Log per-feature input/output tokens.</t>
        </is>
      </c>
      <c r="F15" s="9" t="inlineStr">
        <is>
          <t>Open</t>
        </is>
      </c>
      <c r="G15" s="6" t="inlineStr"/>
    </row>
    <row r="16" ht="45" customHeight="1">
      <c r="A16" s="8" t="inlineStr">
        <is>
          <t>P1</t>
        </is>
      </c>
      <c r="B16" s="8" t="inlineStr">
        <is>
          <t>Embeddings</t>
        </is>
      </c>
      <c r="C16" s="8" t="inlineStr">
        <is>
          <t>Estimate initial indexing and re-indexing tokens.</t>
        </is>
      </c>
      <c r="D16" s="8" t="inlineStr">
        <is>
          <t>Project changes may trigger repeat indexing.</t>
        </is>
      </c>
      <c r="E16" s="8" t="inlineStr">
        <is>
          <t>Count tokens per project and benchmark retrieval.</t>
        </is>
      </c>
      <c r="F16" s="9" t="inlineStr">
        <is>
          <t>Open</t>
        </is>
      </c>
      <c r="G16" s="8" t="inlineStr"/>
    </row>
    <row r="17" ht="45" customHeight="1">
      <c r="A17" s="6" t="inlineStr">
        <is>
          <t>P1</t>
        </is>
      </c>
      <c r="B17" s="6" t="inlineStr">
        <is>
          <t>Worker</t>
        </is>
      </c>
      <c r="C17" s="6" t="inlineStr">
        <is>
          <t>Choose queue/worker and estimate concurrency, runtime and memory.</t>
        </is>
      </c>
      <c r="D17" s="6" t="inlineStr">
        <is>
          <t>Long-running tasks may not fit serverless request limits.</t>
        </is>
      </c>
      <c r="E17" s="6" t="inlineStr">
        <is>
          <t>Benchmark job duration and choose worker tier.</t>
        </is>
      </c>
      <c r="F17" s="9" t="inlineStr">
        <is>
          <t>Open</t>
        </is>
      </c>
      <c r="G17" s="6" t="inlineStr"/>
    </row>
    <row r="18" ht="45" customHeight="1">
      <c r="A18" s="8" t="inlineStr">
        <is>
          <t>P2</t>
        </is>
      </c>
      <c r="B18" s="8" t="inlineStr">
        <is>
          <t>Legal</t>
        </is>
      </c>
      <c r="C18" s="8" t="inlineStr">
        <is>
          <t>Check commercial use, data retention, content policy and output rights.</t>
        </is>
      </c>
      <c r="D18" s="8" t="inlineStr">
        <is>
          <t>Can affect provider selection.</t>
        </is>
      </c>
      <c r="E18" s="8" t="inlineStr">
        <is>
          <t>Review provider terms and client-data handling.</t>
        </is>
      </c>
      <c r="F18" s="19" t="inlineStr">
        <is>
          <t>Open</t>
        </is>
      </c>
      <c r="G18" s="8" t="inlineStr"/>
    </row>
    <row r="19" ht="45" customHeight="1">
      <c r="A19" s="6" t="inlineStr">
        <is>
          <t>P2</t>
        </is>
      </c>
      <c r="B19" s="6" t="inlineStr">
        <is>
          <t>India billing</t>
        </is>
      </c>
      <c r="C19" s="6" t="inlineStr">
        <is>
          <t>Confirm GST, bank FX spread and invoice treatment.</t>
        </is>
      </c>
      <c r="D19" s="6" t="inlineStr">
        <is>
          <t>List prices exclude taxes/FX spread.</t>
        </is>
      </c>
      <c r="E19" s="6" t="inlineStr">
        <is>
          <t>Ask finance/accountant to set landed-cost formula.</t>
        </is>
      </c>
      <c r="F19" s="19" t="inlineStr">
        <is>
          <t>Open</t>
        </is>
      </c>
      <c r="G19" s="6" t="inlineStr"/>
    </row>
  </sheetData>
  <autoFilter ref="A4:G19"/>
  <mergeCells count="2">
    <mergeCell ref="A2:G2"/>
    <mergeCell ref="A1:G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2026-10-14T20:14:43Z</dcterms:created>
  <dcterms:modified xmlns:dcterms="http://purl.org/dc/terms/" xmlns:xsi="http://www.w3.org/2001/XMLSchema-instance" xsi:type="dcterms:W3CDTF">2026-10-14T20:14:44Z</dcterms:modified>
</cp:coreProperties>
</file>